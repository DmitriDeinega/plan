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lan\tools\xlsx\"/>
    </mc:Choice>
  </mc:AlternateContent>
  <xr:revisionPtr revIDLastSave="0" documentId="13_ncr:1_{CF99870E-3C3A-41B6-A9E2-588D9E8CA4C1}" xr6:coauthVersionLast="47" xr6:coauthVersionMax="47" xr10:uidLastSave="{00000000-0000-0000-0000-000000000000}"/>
  <bookViews>
    <workbookView xWindow="-110" yWindow="-110" windowWidth="38620" windowHeight="21100" activeTab="3" xr2:uid="{00000000-000D-0000-FFFF-FFFF00000000}"/>
  </bookViews>
  <sheets>
    <sheet name="Plan" sheetId="1" r:id="rId1"/>
    <sheet name="Foods" sheetId="2" r:id="rId2"/>
    <sheet name="Weights" sheetId="3" r:id="rId3"/>
    <sheet name="Settings" sheetId="5" r:id="rId4"/>
    <sheet name="DBSettings" sheetId="6" r:id="rId5"/>
  </sheets>
  <functionGroups builtInGroupCount="19"/>
  <definedNames>
    <definedName name="_xleta.AND" hidden="1" xlm="1">#NAME?</definedName>
    <definedName name="_xleta.IF" hidden="1" xlm="1">#NAME?</definedName>
    <definedName name="_xleta.N" hidden="1" xlm="1">#NAME?</definedName>
    <definedName name="dailyLinearRegression">OFFSET(Weights!$D$1,0,0,COUNT(Weights!$D:$D))</definedName>
    <definedName name="dailyLinearRegressionLinearRegression">OFFSET(Weights!$E$1,0,0,COUNT(Weights!$E:$E))</definedName>
    <definedName name="dailyWeight">OFFSET(Weights!$B$1,0,0,COUNT(Weights!$B$1:$B$600))</definedName>
    <definedName name="linearWeekly">OFFSET(Weights!$G$1,0,0,COUNT(Weights!$G:$G))</definedName>
    <definedName name="linearWeight">OFFSET(Weights!$C$1,0,0,COUNT(Weights!$C:$C))</definedName>
    <definedName name="weeklyAverage">OFFSET(Weights!$F$1,0,0,COUNT(Weights!$F$1:$F$600))</definedName>
    <definedName name="weeklyWeightReduction">OFFSET(Weights!$H$1,0,0,COUNT(Weights!$H$1:$H$600))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6" i="1"/>
  <c r="B5" i="1"/>
  <c r="C6" i="1"/>
  <c r="C7" i="1"/>
  <c r="C5" i="1"/>
  <c r="AZ5" i="1"/>
  <c r="AY5" i="1"/>
  <c r="AX5" i="1"/>
  <c r="AZ60" i="1"/>
  <c r="AH6" i="1" s="1"/>
  <c r="AH60" i="1" s="1"/>
  <c r="AH8" i="1" s="1"/>
  <c r="AY60" i="1"/>
  <c r="AX60" i="1"/>
  <c r="AT6" i="1"/>
  <c r="AS6" i="1"/>
  <c r="AR6" i="1"/>
  <c r="AT60" i="1"/>
  <c r="AS60" i="1"/>
  <c r="AR60" i="1"/>
  <c r="AN5" i="1"/>
  <c r="AM5" i="1"/>
  <c r="AL5" i="1"/>
  <c r="AN60" i="1"/>
  <c r="AM60" i="1"/>
  <c r="AL60" i="1"/>
  <c r="AG60" i="1"/>
  <c r="AG8" i="1" s="1"/>
  <c r="AF60" i="1"/>
  <c r="AF8" i="1" s="1"/>
  <c r="V4" i="1"/>
  <c r="U4" i="1"/>
  <c r="T4" i="1"/>
  <c r="P6" i="1"/>
  <c r="O6" i="1"/>
  <c r="N6" i="1"/>
  <c r="P60" i="1"/>
  <c r="O60" i="1"/>
  <c r="N60" i="1"/>
  <c r="J6" i="1"/>
  <c r="I6" i="1"/>
  <c r="H6" i="1"/>
  <c r="J60" i="1"/>
  <c r="I60" i="1"/>
  <c r="H60" i="1"/>
  <c r="AZ3" i="1"/>
  <c r="AY3" i="1"/>
  <c r="AX3" i="1"/>
  <c r="AF6" i="1" s="1"/>
  <c r="AT4" i="1"/>
  <c r="AS4" i="1"/>
  <c r="AR4" i="1"/>
  <c r="AT3" i="1"/>
  <c r="AS3" i="1"/>
  <c r="AR3" i="1"/>
  <c r="AN3" i="1"/>
  <c r="AM3" i="1"/>
  <c r="AL3" i="1"/>
  <c r="AG6" i="1"/>
  <c r="AH5" i="1"/>
  <c r="AG5" i="1"/>
  <c r="AF5" i="1"/>
  <c r="AH4" i="1"/>
  <c r="AG4" i="1"/>
  <c r="AF4" i="1"/>
  <c r="AH3" i="1"/>
  <c r="AG3" i="1"/>
  <c r="AF3" i="1"/>
  <c r="AB4" i="1"/>
  <c r="AA4" i="1"/>
  <c r="Z4" i="1"/>
  <c r="AB3" i="1"/>
  <c r="AA3" i="1"/>
  <c r="Z3" i="1"/>
  <c r="P4" i="1"/>
  <c r="O4" i="1"/>
  <c r="N4" i="1"/>
  <c r="P3" i="1"/>
  <c r="O3" i="1"/>
  <c r="N3" i="1"/>
  <c r="J5" i="1"/>
  <c r="I5" i="1"/>
  <c r="H5" i="1"/>
  <c r="J4" i="1"/>
  <c r="I4" i="1"/>
  <c r="H4" i="1"/>
  <c r="J3" i="1"/>
  <c r="I3" i="1"/>
  <c r="H3" i="1"/>
  <c r="H2" i="3" a="1"/>
  <c r="H2" i="3" s="1"/>
  <c r="H3" i="3" a="1"/>
  <c r="H3" i="3" s="1"/>
  <c r="H4" i="3" a="1"/>
  <c r="H4" i="3" s="1"/>
  <c r="H5" i="3" a="1"/>
  <c r="H5" i="3" s="1"/>
  <c r="H6" i="3" a="1"/>
  <c r="H6" i="3" s="1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21" i="3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29" i="3" a="1"/>
  <c r="H29" i="3" s="1"/>
  <c r="H30" i="3" a="1"/>
  <c r="H30" i="3" s="1"/>
  <c r="H31" i="3" a="1"/>
  <c r="H31" i="3" s="1"/>
  <c r="H32" i="3" a="1"/>
  <c r="H32" i="3" s="1"/>
  <c r="H33" i="3" a="1"/>
  <c r="H33" i="3" s="1"/>
  <c r="H34" i="3" a="1"/>
  <c r="H34" i="3" s="1"/>
  <c r="H35" i="3" a="1"/>
  <c r="H35" i="3" s="1"/>
  <c r="H36" i="3" a="1"/>
  <c r="H36" i="3" s="1"/>
  <c r="H37" i="3" a="1"/>
  <c r="H37" i="3" s="1"/>
  <c r="H38" i="3" a="1"/>
  <c r="H38" i="3" s="1"/>
  <c r="H39" i="3" a="1"/>
  <c r="H39" i="3" s="1"/>
  <c r="H40" i="3" a="1"/>
  <c r="H40" i="3" s="1"/>
  <c r="H41" i="3" a="1"/>
  <c r="H41" i="3" s="1"/>
  <c r="H42" i="3" a="1"/>
  <c r="H42" i="3" s="1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1" i="3" a="1"/>
  <c r="H1" i="3" s="1"/>
  <c r="D21" i="3"/>
  <c r="D22" i="3"/>
  <c r="D23" i="3"/>
  <c r="D24" i="3"/>
  <c r="D25" i="3"/>
  <c r="D26" i="3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E202" i="3" s="1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1" i="3"/>
  <c r="AB2" i="3"/>
  <c r="D2" i="3" s="1"/>
  <c r="AB3" i="3"/>
  <c r="AB4" i="3"/>
  <c r="AB5" i="3"/>
  <c r="D5" i="3" s="1"/>
  <c r="AB6" i="3"/>
  <c r="D6" i="3" s="1"/>
  <c r="AB7" i="3"/>
  <c r="AB8" i="3"/>
  <c r="D8" i="3" s="1"/>
  <c r="AB9" i="3"/>
  <c r="D9" i="3" s="1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1" i="3"/>
  <c r="AA2" i="3"/>
  <c r="AA3" i="3"/>
  <c r="AA4" i="3"/>
  <c r="AA5" i="3"/>
  <c r="AA6" i="3"/>
  <c r="AA7" i="3"/>
  <c r="AA8" i="3"/>
  <c r="AA9" i="3"/>
  <c r="AA10" i="3"/>
  <c r="AA11" i="3"/>
  <c r="AA12" i="3"/>
  <c r="AA13" i="3"/>
  <c r="D13" i="3" s="1"/>
  <c r="AA14" i="3"/>
  <c r="D14" i="3" s="1"/>
  <c r="AA15" i="3"/>
  <c r="AA16" i="3"/>
  <c r="D16" i="3" s="1"/>
  <c r="AA17" i="3"/>
  <c r="D17" i="3" s="1"/>
  <c r="AA18" i="3"/>
  <c r="D18" i="3" s="1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1" i="3"/>
  <c r="I15" i="3" a="1"/>
  <c r="I15" i="3" s="1"/>
  <c r="F1" i="3"/>
  <c r="F2" i="3"/>
  <c r="F3" i="3"/>
  <c r="F4" i="3"/>
  <c r="F5" i="3"/>
  <c r="F6" i="3"/>
  <c r="F7" i="3"/>
  <c r="F8" i="3"/>
  <c r="G8" i="3" s="1"/>
  <c r="F9" i="3"/>
  <c r="F10" i="3"/>
  <c r="F11" i="3"/>
  <c r="F12" i="3"/>
  <c r="F13" i="3"/>
  <c r="G13" i="3" s="1"/>
  <c r="F14" i="3"/>
  <c r="F15" i="3"/>
  <c r="F16" i="3"/>
  <c r="F17" i="3"/>
  <c r="F18" i="3"/>
  <c r="F19" i="3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F28" i="3"/>
  <c r="F29" i="3"/>
  <c r="G29" i="3" s="1"/>
  <c r="F30" i="3"/>
  <c r="G30" i="3" s="1"/>
  <c r="F31" i="3"/>
  <c r="G31" i="3" s="1"/>
  <c r="F32" i="3"/>
  <c r="F33" i="3"/>
  <c r="G33" i="3" s="1"/>
  <c r="F34" i="3"/>
  <c r="G34" i="3" s="1"/>
  <c r="F35" i="3"/>
  <c r="G35" i="3" s="1"/>
  <c r="F36" i="3"/>
  <c r="G36" i="3" s="1"/>
  <c r="F37" i="3"/>
  <c r="F38" i="3"/>
  <c r="F39" i="3"/>
  <c r="F40" i="3"/>
  <c r="F41" i="3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F49" i="3"/>
  <c r="G49" i="3" s="1"/>
  <c r="F50" i="3"/>
  <c r="G50" i="3" s="1"/>
  <c r="F51" i="3"/>
  <c r="G51" i="3" s="1"/>
  <c r="F52" i="3"/>
  <c r="G52" i="3" s="1"/>
  <c r="F53" i="3"/>
  <c r="G53" i="3" s="1"/>
  <c r="F54" i="3"/>
  <c r="F55" i="3"/>
  <c r="G55" i="3" s="1"/>
  <c r="F56" i="3"/>
  <c r="G56" i="3" s="1"/>
  <c r="F57" i="3"/>
  <c r="G57" i="3" s="1"/>
  <c r="F58" i="3"/>
  <c r="G58" i="3" s="1"/>
  <c r="F59" i="3"/>
  <c r="F60" i="3"/>
  <c r="F61" i="3"/>
  <c r="F62" i="3"/>
  <c r="F63" i="3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F71" i="3"/>
  <c r="G71" i="3" s="1"/>
  <c r="F72" i="3"/>
  <c r="F73" i="3"/>
  <c r="G73" i="3" s="1"/>
  <c r="F74" i="3"/>
  <c r="G74" i="3" s="1"/>
  <c r="F75" i="3"/>
  <c r="F76" i="3"/>
  <c r="F77" i="3"/>
  <c r="F78" i="3"/>
  <c r="F79" i="3"/>
  <c r="G79" i="3" s="1"/>
  <c r="F80" i="3"/>
  <c r="G80" i="3" s="1"/>
  <c r="F81" i="3"/>
  <c r="F82" i="3"/>
  <c r="F83" i="3"/>
  <c r="F84" i="3"/>
  <c r="F85" i="3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F94" i="3"/>
  <c r="F95" i="3"/>
  <c r="G95" i="3" s="1"/>
  <c r="F96" i="3"/>
  <c r="G96" i="3" s="1"/>
  <c r="F97" i="3"/>
  <c r="F98" i="3"/>
  <c r="F99" i="3"/>
  <c r="G99" i="3" s="1"/>
  <c r="F100" i="3"/>
  <c r="G100" i="3" s="1"/>
  <c r="F101" i="3"/>
  <c r="G101" i="3" s="1"/>
  <c r="F102" i="3"/>
  <c r="G102" i="3" s="1"/>
  <c r="F103" i="3"/>
  <c r="F104" i="3"/>
  <c r="F105" i="3"/>
  <c r="F106" i="3"/>
  <c r="F107" i="3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F121" i="3"/>
  <c r="G121" i="3" s="1"/>
  <c r="F122" i="3"/>
  <c r="G122" i="3" s="1"/>
  <c r="F123" i="3"/>
  <c r="G123" i="3" s="1"/>
  <c r="F124" i="3"/>
  <c r="G124" i="3" s="1"/>
  <c r="F125" i="3"/>
  <c r="F126" i="3"/>
  <c r="F127" i="3"/>
  <c r="F128" i="3"/>
  <c r="F129" i="3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F142" i="3"/>
  <c r="F143" i="3"/>
  <c r="F144" i="3"/>
  <c r="F145" i="3"/>
  <c r="G145" i="3" s="1"/>
  <c r="F146" i="3"/>
  <c r="G146" i="3" s="1"/>
  <c r="F147" i="3"/>
  <c r="F148" i="3"/>
  <c r="F149" i="3"/>
  <c r="F150" i="3"/>
  <c r="F151" i="3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F161" i="3"/>
  <c r="G161" i="3" s="1"/>
  <c r="F162" i="3"/>
  <c r="G162" i="3" s="1"/>
  <c r="F163" i="3"/>
  <c r="F164" i="3"/>
  <c r="F165" i="3"/>
  <c r="F166" i="3"/>
  <c r="G166" i="3" s="1"/>
  <c r="F167" i="3"/>
  <c r="G167" i="3" s="1"/>
  <c r="F168" i="3"/>
  <c r="G168" i="3" s="1"/>
  <c r="F169" i="3"/>
  <c r="F170" i="3"/>
  <c r="F171" i="3"/>
  <c r="F172" i="3"/>
  <c r="F173" i="3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F187" i="3"/>
  <c r="G187" i="3" s="1"/>
  <c r="F188" i="3"/>
  <c r="G188" i="3" s="1"/>
  <c r="F189" i="3"/>
  <c r="G189" i="3" s="1"/>
  <c r="F190" i="3"/>
  <c r="G190" i="3" s="1"/>
  <c r="F191" i="3"/>
  <c r="F192" i="3"/>
  <c r="F193" i="3"/>
  <c r="F194" i="3"/>
  <c r="F195" i="3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F203" i="3"/>
  <c r="G203" i="3" s="1"/>
  <c r="F204" i="3"/>
  <c r="G204" i="3" s="1"/>
  <c r="F205" i="3"/>
  <c r="G205" i="3" s="1"/>
  <c r="F206" i="3"/>
  <c r="G206" i="3" s="1"/>
  <c r="F207" i="3"/>
  <c r="F208" i="3"/>
  <c r="F209" i="3"/>
  <c r="F210" i="3"/>
  <c r="F211" i="3"/>
  <c r="G211" i="3" s="1"/>
  <c r="F212" i="3"/>
  <c r="G212" i="3" s="1"/>
  <c r="F213" i="3"/>
  <c r="F214" i="3"/>
  <c r="F215" i="3"/>
  <c r="F216" i="3"/>
  <c r="F217" i="3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F225" i="3"/>
  <c r="G225" i="3" s="1"/>
  <c r="F226" i="3"/>
  <c r="F227" i="3"/>
  <c r="G227" i="3" s="1"/>
  <c r="F228" i="3"/>
  <c r="G228" i="3" s="1"/>
  <c r="F229" i="3"/>
  <c r="F230" i="3"/>
  <c r="F231" i="3"/>
  <c r="F232" i="3"/>
  <c r="F233" i="3"/>
  <c r="G233" i="3" s="1"/>
  <c r="F234" i="3"/>
  <c r="G234" i="3" s="1"/>
  <c r="F235" i="3"/>
  <c r="F23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J6" i="3" a="1"/>
  <c r="J6" i="3" s="1"/>
  <c r="J7" i="3" s="1" a="1"/>
  <c r="J7" i="3" s="1"/>
  <c r="AA5" i="1" l="1"/>
  <c r="AA60" i="1" s="1"/>
  <c r="AA7" i="1" s="1"/>
  <c r="Z5" i="1"/>
  <c r="Z60" i="1" s="1"/>
  <c r="Z7" i="1" s="1"/>
  <c r="AB5" i="1"/>
  <c r="AB60" i="1" s="1"/>
  <c r="AB7" i="1" s="1"/>
  <c r="D20" i="3"/>
  <c r="D19" i="3"/>
  <c r="D3" i="3"/>
  <c r="D12" i="3"/>
  <c r="D11" i="3"/>
  <c r="D10" i="3"/>
  <c r="D15" i="3"/>
  <c r="D7" i="3"/>
  <c r="D4" i="3"/>
  <c r="G165" i="3"/>
  <c r="G97" i="3"/>
  <c r="G28" i="3"/>
  <c r="G164" i="3"/>
  <c r="G94" i="3"/>
  <c r="G27" i="3"/>
  <c r="I21" i="3" a="1"/>
  <c r="I21" i="3" s="1"/>
  <c r="G163" i="3"/>
  <c r="G93" i="3"/>
  <c r="G19" i="3"/>
  <c r="G232" i="3"/>
  <c r="G160" i="3"/>
  <c r="G85" i="3"/>
  <c r="G14" i="3"/>
  <c r="G231" i="3"/>
  <c r="G151" i="3"/>
  <c r="G78" i="3"/>
  <c r="G12" i="3"/>
  <c r="G230" i="3"/>
  <c r="G144" i="3"/>
  <c r="G77" i="3"/>
  <c r="G11" i="3"/>
  <c r="G229" i="3"/>
  <c r="G143" i="3"/>
  <c r="G76" i="3"/>
  <c r="G10" i="3"/>
  <c r="G226" i="3"/>
  <c r="G142" i="3"/>
  <c r="G75" i="3"/>
  <c r="G9" i="3"/>
  <c r="G217" i="3"/>
  <c r="G141" i="3"/>
  <c r="G72" i="3"/>
  <c r="G6" i="3"/>
  <c r="G210" i="3"/>
  <c r="G5" i="3"/>
  <c r="G209" i="3"/>
  <c r="G63" i="3"/>
  <c r="G208" i="3"/>
  <c r="G129" i="3"/>
  <c r="G207" i="3"/>
  <c r="G54" i="3"/>
  <c r="G195" i="3"/>
  <c r="G120" i="3"/>
  <c r="G186" i="3"/>
  <c r="G41" i="3"/>
  <c r="G107" i="3"/>
  <c r="G173" i="3"/>
  <c r="G32" i="3"/>
  <c r="G98" i="3"/>
  <c r="J15" i="3"/>
  <c r="C16" i="3" s="1"/>
  <c r="G216" i="3"/>
  <c r="G194" i="3"/>
  <c r="G172" i="3"/>
  <c r="G150" i="3"/>
  <c r="G128" i="3"/>
  <c r="G106" i="3"/>
  <c r="G84" i="3"/>
  <c r="G62" i="3"/>
  <c r="G40" i="3"/>
  <c r="G18" i="3"/>
  <c r="G215" i="3"/>
  <c r="G149" i="3"/>
  <c r="G83" i="3"/>
  <c r="G39" i="3"/>
  <c r="G236" i="3"/>
  <c r="G214" i="3"/>
  <c r="G192" i="3"/>
  <c r="G170" i="3"/>
  <c r="G148" i="3"/>
  <c r="G126" i="3"/>
  <c r="G104" i="3"/>
  <c r="G82" i="3"/>
  <c r="G60" i="3"/>
  <c r="G38" i="3"/>
  <c r="G16" i="3"/>
  <c r="G235" i="3"/>
  <c r="G213" i="3"/>
  <c r="G191" i="3"/>
  <c r="G169" i="3"/>
  <c r="G147" i="3"/>
  <c r="G125" i="3"/>
  <c r="G103" i="3"/>
  <c r="G81" i="3"/>
  <c r="G59" i="3"/>
  <c r="G37" i="3"/>
  <c r="G15" i="3"/>
  <c r="G171" i="3"/>
  <c r="G105" i="3"/>
  <c r="G193" i="3"/>
  <c r="G127" i="3"/>
  <c r="G61" i="3"/>
  <c r="G17" i="3"/>
  <c r="G7" i="3"/>
  <c r="G224" i="3"/>
  <c r="G202" i="3"/>
  <c r="G180" i="3"/>
  <c r="G114" i="3"/>
  <c r="G70" i="3"/>
  <c r="G48" i="3"/>
  <c r="C26" i="3" l="1"/>
  <c r="C25" i="3"/>
  <c r="C24" i="3"/>
  <c r="C23" i="3"/>
  <c r="C22" i="3"/>
  <c r="C21" i="3"/>
  <c r="C20" i="3"/>
  <c r="C19" i="3"/>
  <c r="C18" i="3"/>
  <c r="I18" i="3" a="1"/>
  <c r="J18" i="3" s="1"/>
  <c r="C17" i="3"/>
  <c r="C15" i="3"/>
  <c r="C14" i="3"/>
  <c r="C13" i="3"/>
  <c r="C12" i="3"/>
  <c r="C11" i="3"/>
  <c r="C10" i="3"/>
  <c r="C9" i="3"/>
  <c r="C5" i="3"/>
  <c r="C7" i="3"/>
  <c r="C8" i="3"/>
  <c r="C6" i="3"/>
  <c r="C2" i="3"/>
  <c r="C4" i="3"/>
  <c r="C1" i="3"/>
  <c r="C3" i="3"/>
  <c r="J21" i="3"/>
  <c r="G4" i="3" s="1"/>
  <c r="J5" i="3" a="1"/>
  <c r="J5" i="3" s="1"/>
  <c r="J3" i="3"/>
  <c r="J2" i="3" a="1"/>
  <c r="J2" i="3" s="1"/>
  <c r="D5" i="1" l="1"/>
  <c r="D6" i="1"/>
  <c r="D7" i="1"/>
  <c r="I18" i="3"/>
  <c r="G1" i="3"/>
  <c r="G3" i="3"/>
  <c r="G2" i="3"/>
  <c r="J4" i="3"/>
  <c r="J8" i="3" s="1"/>
  <c r="J9" i="3" s="1" a="1"/>
  <c r="J9" i="3" s="1"/>
  <c r="E25" i="3" l="1"/>
  <c r="E26" i="3"/>
  <c r="E23" i="3"/>
  <c r="E24" i="3"/>
  <c r="E21" i="3"/>
  <c r="E22" i="3"/>
  <c r="E19" i="3"/>
  <c r="E20" i="3"/>
  <c r="E16" i="3"/>
  <c r="E17" i="3"/>
  <c r="E18" i="3"/>
  <c r="E4" i="3"/>
  <c r="E3" i="3"/>
  <c r="E2" i="3"/>
  <c r="E5" i="3"/>
  <c r="E6" i="3"/>
  <c r="E1" i="3"/>
  <c r="E7" i="3"/>
  <c r="E8" i="3"/>
  <c r="E9" i="3"/>
  <c r="E15" i="3"/>
  <c r="E11" i="3"/>
  <c r="E10" i="3"/>
  <c r="E13" i="3"/>
  <c r="E12" i="3"/>
  <c r="E14" i="3"/>
  <c r="J10" i="3" l="1"/>
  <c r="J11" i="3" s="1" a="1"/>
  <c r="J11" i="3" s="1"/>
  <c r="J12" i="3" l="1"/>
  <c r="J13" i="3" s="1" a="1"/>
  <c r="J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<sst xmlns="http://schemas.openxmlformats.org/spreadsheetml/2006/main" count="387" uniqueCount="214">
  <si>
    <t>Protein</t>
  </si>
  <si>
    <t>Fat</t>
  </si>
  <si>
    <t>Calories</t>
  </si>
  <si>
    <t>Weight</t>
  </si>
  <si>
    <t>Sum</t>
  </si>
  <si>
    <t>Meal 2</t>
  </si>
  <si>
    <t>Meal 1</t>
  </si>
  <si>
    <t>Meal 3</t>
  </si>
  <si>
    <t>Daily</t>
  </si>
  <si>
    <t>Needed</t>
  </si>
  <si>
    <t>Height</t>
  </si>
  <si>
    <t>Daily Calories</t>
  </si>
  <si>
    <t>Meal 4</t>
  </si>
  <si>
    <t>TDEE Multiplier</t>
  </si>
  <si>
    <t>Left</t>
  </si>
  <si>
    <t>Gender</t>
  </si>
  <si>
    <t>Protein Powder</t>
  </si>
  <si>
    <t>Rice Cakes</t>
  </si>
  <si>
    <t>Almond</t>
  </si>
  <si>
    <t>Pecan</t>
  </si>
  <si>
    <t>Chicken Breast</t>
  </si>
  <si>
    <t>Sweet Potato</t>
  </si>
  <si>
    <t>Quinoa</t>
  </si>
  <si>
    <t>Buckwheat</t>
  </si>
  <si>
    <t>Sirloin</t>
  </si>
  <si>
    <t>Avocado</t>
  </si>
  <si>
    <t>Chia</t>
  </si>
  <si>
    <t>Olive Oil</t>
  </si>
  <si>
    <t>Walnut</t>
  </si>
  <si>
    <t>Salmon</t>
  </si>
  <si>
    <t>Boiled Egg Y</t>
  </si>
  <si>
    <t>Macadamia</t>
  </si>
  <si>
    <t>Cashew</t>
  </si>
  <si>
    <t>Pistachio</t>
  </si>
  <si>
    <t>Peanuts</t>
  </si>
  <si>
    <t>Brazil Nut</t>
  </si>
  <si>
    <t>Pine Nut</t>
  </si>
  <si>
    <t>Hazelnut</t>
  </si>
  <si>
    <t>Kidney Bean</t>
  </si>
  <si>
    <t>Tahini</t>
  </si>
  <si>
    <t>Red Lentil</t>
  </si>
  <si>
    <t>Black Lentil</t>
  </si>
  <si>
    <t>Green Lentil</t>
  </si>
  <si>
    <t>White Bean</t>
  </si>
  <si>
    <t>Shrimps</t>
  </si>
  <si>
    <t>Cottage</t>
  </si>
  <si>
    <t>Mackerel</t>
  </si>
  <si>
    <t>Green Pea</t>
  </si>
  <si>
    <t>Carb</t>
  </si>
  <si>
    <t>Oat</t>
  </si>
  <si>
    <t>Meal 5</t>
  </si>
  <si>
    <t>Carrot</t>
  </si>
  <si>
    <t>Nuts</t>
  </si>
  <si>
    <t>Y</t>
  </si>
  <si>
    <t>Tomato</t>
  </si>
  <si>
    <t>Cucumber</t>
  </si>
  <si>
    <t>Radish</t>
  </si>
  <si>
    <t>Broccoli</t>
  </si>
  <si>
    <t>Cauliflower</t>
  </si>
  <si>
    <t>Fruits</t>
  </si>
  <si>
    <t>Banana</t>
  </si>
  <si>
    <t>Apple</t>
  </si>
  <si>
    <t>Pear</t>
  </si>
  <si>
    <t>Persimmon</t>
  </si>
  <si>
    <t>Pomegranate</t>
  </si>
  <si>
    <t>Orange</t>
  </si>
  <si>
    <t>Onion</t>
  </si>
  <si>
    <t>Chili</t>
  </si>
  <si>
    <t>Pepper</t>
  </si>
  <si>
    <t>N</t>
  </si>
  <si>
    <t>Strawberry</t>
  </si>
  <si>
    <t>Gvina</t>
  </si>
  <si>
    <t>Watermelon</t>
  </si>
  <si>
    <t>Loquat</t>
  </si>
  <si>
    <t>Potato</t>
  </si>
  <si>
    <t>Crab</t>
  </si>
  <si>
    <t>Vegetables</t>
  </si>
  <si>
    <t>Boiled Egg W</t>
  </si>
  <si>
    <t>Bread</t>
  </si>
  <si>
    <t>Bass</t>
  </si>
  <si>
    <t>Clemantine</t>
  </si>
  <si>
    <t>Pumpkin Seed</t>
  </si>
  <si>
    <t>Tilapia</t>
  </si>
  <si>
    <t>Tongue</t>
  </si>
  <si>
    <t>Yogurt</t>
  </si>
  <si>
    <t>Foods Protein Column</t>
  </si>
  <si>
    <t>Foods Fat Column</t>
  </si>
  <si>
    <t>Foods Carb Column</t>
  </si>
  <si>
    <t>Foods Addition Name Column</t>
  </si>
  <si>
    <t>Foods Addition Protein Column</t>
  </si>
  <si>
    <t>Foods Addition Fat Column</t>
  </si>
  <si>
    <t>Foods Addition Inner Type Column</t>
  </si>
  <si>
    <t>Foods Addition Available Column</t>
  </si>
  <si>
    <t>Foods Addition Calories Column</t>
  </si>
  <si>
    <t>Meal 1 Row</t>
  </si>
  <si>
    <t>Meal 1 Column</t>
  </si>
  <si>
    <t>Meal 2 Row</t>
  </si>
  <si>
    <t>Meal 2 Column</t>
  </si>
  <si>
    <t>Meal 3 Row</t>
  </si>
  <si>
    <t>Meal 3 Column</t>
  </si>
  <si>
    <t>Meal 4 Row</t>
  </si>
  <si>
    <t>Meal 4 Column</t>
  </si>
  <si>
    <t>Meal 5 Row</t>
  </si>
  <si>
    <t>Meal 5 Column</t>
  </si>
  <si>
    <t>Fruits Row</t>
  </si>
  <si>
    <t>Fruits Column</t>
  </si>
  <si>
    <t>Nuts Row</t>
  </si>
  <si>
    <t>Nuts Column</t>
  </si>
  <si>
    <t>Vegetables Row</t>
  </si>
  <si>
    <t>Vegetables Column</t>
  </si>
  <si>
    <t>Meals Addition Row</t>
  </si>
  <si>
    <t>Meals Addition Name Column</t>
  </si>
  <si>
    <t>Meals Addition Weight Column</t>
  </si>
  <si>
    <t>Meals Size</t>
  </si>
  <si>
    <t>Meals Addition Protein Column</t>
  </si>
  <si>
    <t>Meals Addition Fat Column</t>
  </si>
  <si>
    <t>Meals Addition Calories Column</t>
  </si>
  <si>
    <t>M</t>
  </si>
  <si>
    <t>Start Date</t>
  </si>
  <si>
    <t>Weights Weight Column</t>
  </si>
  <si>
    <t>Goal</t>
  </si>
  <si>
    <t>Lost Weight</t>
  </si>
  <si>
    <t>Days Passed</t>
  </si>
  <si>
    <t>Avg Weekly Lose</t>
  </si>
  <si>
    <t>To Goal</t>
  </si>
  <si>
    <t>Regression Days Left</t>
  </si>
  <si>
    <t>Date Regression Goal Reach</t>
  </si>
  <si>
    <t>Regression Regression Days Left</t>
  </si>
  <si>
    <t>Date Regression Regression Goal Reach</t>
  </si>
  <si>
    <t>Weight Linear Regression</t>
  </si>
  <si>
    <t>Regression Linear Regression</t>
  </si>
  <si>
    <t>Weekly Linear Regression</t>
  </si>
  <si>
    <t>Mango</t>
  </si>
  <si>
    <t>Garlic</t>
  </si>
  <si>
    <t>Tuna</t>
  </si>
  <si>
    <t>Blueberry</t>
  </si>
  <si>
    <t>Jalapeno</t>
  </si>
  <si>
    <t>Zucchini</t>
  </si>
  <si>
    <t>Pineapple</t>
  </si>
  <si>
    <t>Thigh</t>
  </si>
  <si>
    <t>Entrecote</t>
  </si>
  <si>
    <t>Eggplant</t>
  </si>
  <si>
    <t>Labrak</t>
  </si>
  <si>
    <t>Green onion</t>
  </si>
  <si>
    <t>Green Kiwi</t>
  </si>
  <si>
    <t>Gold Kiwi</t>
  </si>
  <si>
    <t>White Corn</t>
  </si>
  <si>
    <t>Pork Tenderloin</t>
  </si>
  <si>
    <t>Habanero</t>
  </si>
  <si>
    <t>Annona</t>
  </si>
  <si>
    <t>Mullet</t>
  </si>
  <si>
    <t>Pork Chop</t>
  </si>
  <si>
    <t>Fig</t>
  </si>
  <si>
    <t>Barramundi</t>
  </si>
  <si>
    <t>Pork Neck</t>
  </si>
  <si>
    <t>Grapes</t>
  </si>
  <si>
    <t>Nectarine</t>
  </si>
  <si>
    <t>Denis</t>
  </si>
  <si>
    <t>Mushroom</t>
  </si>
  <si>
    <t>Peanut Butter</t>
  </si>
  <si>
    <t>Days Left Kilogram Per Week</t>
  </si>
  <si>
    <t>Days Left Avg Weekly</t>
  </si>
  <si>
    <t>Date Avg Weekly Goal Reach</t>
  </si>
  <si>
    <t>Date Kilogram Per Week Goal Reach</t>
  </si>
  <si>
    <t>Data Hayani</t>
  </si>
  <si>
    <t>Date medjool</t>
  </si>
  <si>
    <t>Liver</t>
  </si>
  <si>
    <t>Heart</t>
  </si>
  <si>
    <t>Hummus</t>
  </si>
  <si>
    <t>Durum</t>
  </si>
  <si>
    <t>Raw Green Pea</t>
  </si>
  <si>
    <t>Trout</t>
  </si>
  <si>
    <t>Amberjack</t>
  </si>
  <si>
    <t>Pession Fruit</t>
  </si>
  <si>
    <t>Farida</t>
  </si>
  <si>
    <t>Wheat</t>
  </si>
  <si>
    <t>Green Beans</t>
  </si>
  <si>
    <t>Almond Butter</t>
  </si>
  <si>
    <t>Argyrosomus</t>
  </si>
  <si>
    <t>Person Weight Row</t>
  </si>
  <si>
    <t>Person Weight Column</t>
  </si>
  <si>
    <t>API Route</t>
  </si>
  <si>
    <t>Day Closed Status Row</t>
  </si>
  <si>
    <t>Day Closed Status Column</t>
  </si>
  <si>
    <t>Asado</t>
  </si>
  <si>
    <t>Beef Tenderloin</t>
  </si>
  <si>
    <t>Semolina</t>
  </si>
  <si>
    <t>Wings</t>
  </si>
  <si>
    <t>Dried Lychee</t>
  </si>
  <si>
    <t>Dried Fig</t>
  </si>
  <si>
    <t>Coriander</t>
  </si>
  <si>
    <t>Mozzarela</t>
  </si>
  <si>
    <t>Dried Apricot</t>
  </si>
  <si>
    <t>Amantel</t>
  </si>
  <si>
    <t>Gouda</t>
  </si>
  <si>
    <t>Plum</t>
  </si>
  <si>
    <t>Ricota</t>
  </si>
  <si>
    <t>Apricot</t>
  </si>
  <si>
    <t>Peach</t>
  </si>
  <si>
    <t>Date Row</t>
  </si>
  <si>
    <t>Date Column</t>
  </si>
  <si>
    <t>Daily Protein perKg</t>
  </si>
  <si>
    <t>Daily Fat perKg</t>
  </si>
  <si>
    <t>Calorie Type</t>
  </si>
  <si>
    <t>Birthday</t>
  </si>
  <si>
    <t>Nuts New Day Amount</t>
  </si>
  <si>
    <t>Fruits New Day Amount</t>
  </si>
  <si>
    <t>Vegetables New Day Amount</t>
  </si>
  <si>
    <t>deficit</t>
  </si>
  <si>
    <t>03/05/1989</t>
  </si>
  <si>
    <t>Cherry</t>
  </si>
  <si>
    <t>02/08/2026</t>
  </si>
  <si>
    <t>Chuck</t>
  </si>
  <si>
    <t>09/08/2026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</si>
</sst>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F2A8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1" fontId="3" fillId="0" borderId="6" xfId="0" applyNumberFormat="1" applyFont="1" applyBorder="1" applyAlignment="1" applyProtection="1">
      <alignment horizontal="center" vertical="center"/>
      <protection locked="0"/>
    </xf>
    <xf numFmtId="0" fontId="5" fillId="0" borderId="0" xfId="1" applyAlignment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49" fontId="2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Weight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[0]!dailyWeight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80.2</c:v>
                </c:pt>
                <c:pt idx="3">
                  <c:v>79.3</c:v>
                </c:pt>
                <c:pt idx="4">
                  <c:v>79.3</c:v>
                </c:pt>
                <c:pt idx="5">
                  <c:v>79.599999999999994</c:v>
                </c:pt>
                <c:pt idx="6">
                  <c:v>78.599999999999994</c:v>
                </c:pt>
                <c:pt idx="7">
                  <c:v>78.8</c:v>
                </c:pt>
                <c:pt idx="8">
                  <c:v>78.2</c:v>
                </c:pt>
                <c:pt idx="9">
                  <c:v>77.5</c:v>
                </c:pt>
                <c:pt idx="10">
                  <c:v>76.900000000000006</c:v>
                </c:pt>
                <c:pt idx="11">
                  <c:v>77.3</c:v>
                </c:pt>
                <c:pt idx="12">
                  <c:v>76.8</c:v>
                </c:pt>
                <c:pt idx="13">
                  <c:v>76.400000000000006</c:v>
                </c:pt>
                <c:pt idx="14">
                  <c:v>76.400000000000006</c:v>
                </c:pt>
                <c:pt idx="15">
                  <c:v>76.400000000000006</c:v>
                </c:pt>
                <c:pt idx="16">
                  <c:v>75.8</c:v>
                </c:pt>
                <c:pt idx="17">
                  <c:v>76.099999999999994</c:v>
                </c:pt>
                <c:pt idx="18">
                  <c:v>76.7</c:v>
                </c:pt>
                <c:pt idx="19">
                  <c:v>76.3</c:v>
                </c:pt>
                <c:pt idx="20">
                  <c:v>75.900000000000006</c:v>
                </c:pt>
                <c:pt idx="21">
                  <c:v>76.3</c:v>
                </c:pt>
                <c:pt idx="22">
                  <c:v>77.599999999999994</c:v>
                </c:pt>
                <c:pt idx="23">
                  <c:v>77.599999999999994</c:v>
                </c:pt>
                <c:pt idx="24">
                  <c:v>76.900000000000006</c:v>
                </c:pt>
                <c:pt idx="25">
                  <c:v>76.099999999999994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E-4978-BDD6-B332FD579D9F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[0]!linearWeight</c:f>
              <c:numCache>
                <c:formatCode>0.0</c:formatCode>
                <c:ptCount val="26"/>
                <c:pt idx="0">
                  <c:v>79.781196581196582</c:v>
                </c:pt>
                <c:pt idx="1">
                  <c:v>79.610700854700866</c:v>
                </c:pt>
                <c:pt idx="2">
                  <c:v>79.440205128205136</c:v>
                </c:pt>
                <c:pt idx="3">
                  <c:v>79.269709401709406</c:v>
                </c:pt>
                <c:pt idx="4">
                  <c:v>79.099213675213676</c:v>
                </c:pt>
                <c:pt idx="5">
                  <c:v>78.92871794871796</c:v>
                </c:pt>
                <c:pt idx="6">
                  <c:v>78.75822222222223</c:v>
                </c:pt>
                <c:pt idx="7">
                  <c:v>78.5877264957265</c:v>
                </c:pt>
                <c:pt idx="8">
                  <c:v>78.41723076923077</c:v>
                </c:pt>
                <c:pt idx="9">
                  <c:v>78.246735042735054</c:v>
                </c:pt>
                <c:pt idx="10">
                  <c:v>78.076239316239324</c:v>
                </c:pt>
                <c:pt idx="11">
                  <c:v>77.905743589743594</c:v>
                </c:pt>
                <c:pt idx="12">
                  <c:v>77.735247863247864</c:v>
                </c:pt>
                <c:pt idx="13">
                  <c:v>77.564752136752148</c:v>
                </c:pt>
                <c:pt idx="14">
                  <c:v>77.394256410256418</c:v>
                </c:pt>
                <c:pt idx="15">
                  <c:v>77.223760683760688</c:v>
                </c:pt>
                <c:pt idx="16">
                  <c:v>77.053264957264958</c:v>
                </c:pt>
                <c:pt idx="17">
                  <c:v>76.882769230769242</c:v>
                </c:pt>
                <c:pt idx="18">
                  <c:v>76.712273504273512</c:v>
                </c:pt>
                <c:pt idx="19">
                  <c:v>76.541777777777781</c:v>
                </c:pt>
                <c:pt idx="20">
                  <c:v>76.371282051282051</c:v>
                </c:pt>
                <c:pt idx="21">
                  <c:v>76.200786324786336</c:v>
                </c:pt>
                <c:pt idx="22">
                  <c:v>76.030290598290605</c:v>
                </c:pt>
                <c:pt idx="23">
                  <c:v>75.859794871794875</c:v>
                </c:pt>
                <c:pt idx="24">
                  <c:v>75.689299145299145</c:v>
                </c:pt>
                <c:pt idx="25">
                  <c:v>75.518803418803429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E-4978-BDD6-B332FD57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8256"/>
        <c:axId val="96049792"/>
      </c:lineChart>
      <c:catAx>
        <c:axId val="960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049792"/>
        <c:crosses val="autoZero"/>
        <c:auto val="1"/>
        <c:lblAlgn val="ctr"/>
        <c:lblOffset val="100"/>
        <c:noMultiLvlLbl val="0"/>
      </c:catAx>
      <c:valAx>
        <c:axId val="960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0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Average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[0]!weeklyAverage</c:f>
              <c:numCache>
                <c:formatCode>0.0</c:formatCode>
                <c:ptCount val="4"/>
                <c:pt idx="0">
                  <c:v>79.842857142857156</c:v>
                </c:pt>
                <c:pt idx="1">
                  <c:v>77.414285714285711</c:v>
                </c:pt>
                <c:pt idx="2">
                  <c:v>76.228571428571428</c:v>
                </c:pt>
                <c:pt idx="3">
                  <c:v>76.900000000000006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D-4743-8969-6E33B4A71F3B}"/>
            </c:ext>
          </c:extLst>
        </c:ser>
        <c:ser>
          <c:idx val="1"/>
          <c:order val="1"/>
          <c:tx>
            <c:v>linearWeekly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[0]!linearWeekly</c:f>
              <c:numCache>
                <c:formatCode>0.0</c:formatCode>
                <c:ptCount val="4"/>
                <c:pt idx="0">
                  <c:v>79.098571428571432</c:v>
                </c:pt>
                <c:pt idx="1">
                  <c:v>78.097142857142856</c:v>
                </c:pt>
                <c:pt idx="2">
                  <c:v>77.095714285714294</c:v>
                </c:pt>
                <c:pt idx="3">
                  <c:v>76.094285714285718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0-461D-9794-5FC018302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40960"/>
        <c:axId val="98842496"/>
      </c:lineChart>
      <c:catAx>
        <c:axId val="98840960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98842496"/>
        <c:crosses val="autoZero"/>
        <c:auto val="1"/>
        <c:lblAlgn val="ctr"/>
        <c:lblOffset val="100"/>
        <c:noMultiLvlLbl val="0"/>
      </c:catAx>
      <c:valAx>
        <c:axId val="98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Weekly Weight Reduction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[0]!weeklyWeightReduction</c:f>
              <c:numCache>
                <c:formatCode>0.00</c:formatCode>
                <c:ptCount val="3"/>
                <c:pt idx="0">
                  <c:v>2.9000000000000057</c:v>
                </c:pt>
                <c:pt idx="1">
                  <c:v>2.3999999999999915</c:v>
                </c:pt>
                <c:pt idx="2">
                  <c:v>0.10000000000000853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3-4D2E-8B6D-D6784C1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44"/>
        <c:axId val="98885632"/>
      </c:barChart>
      <c:catAx>
        <c:axId val="988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8885632"/>
        <c:crosses val="autoZero"/>
        <c:auto val="1"/>
        <c:lblAlgn val="ctr"/>
        <c:lblOffset val="100"/>
        <c:noMultiLvlLbl val="0"/>
      </c:catAx>
      <c:valAx>
        <c:axId val="98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79.95</c:v>
                </c:pt>
                <c:pt idx="3">
                  <c:v>79.27000000000001</c:v>
                </c:pt>
                <c:pt idx="4">
                  <c:v>79</c:v>
                </c:pt>
                <c:pt idx="5">
                  <c:v>79.04285714285713</c:v>
                </c:pt>
                <c:pt idx="6">
                  <c:v>78.621428571428524</c:v>
                </c:pt>
                <c:pt idx="7">
                  <c:v>78.458333333333314</c:v>
                </c:pt>
                <c:pt idx="8">
                  <c:v>78.137777777777771</c:v>
                </c:pt>
                <c:pt idx="9">
                  <c:v>77.687272727272685</c:v>
                </c:pt>
                <c:pt idx="10">
                  <c:v>77.186363636363595</c:v>
                </c:pt>
                <c:pt idx="11">
                  <c:v>76.947435897435852</c:v>
                </c:pt>
                <c:pt idx="12">
                  <c:v>76.640659340659298</c:v>
                </c:pt>
                <c:pt idx="13">
                  <c:v>76.311428571428507</c:v>
                </c:pt>
                <c:pt idx="14">
                  <c:v>76.062499999999943</c:v>
                </c:pt>
                <c:pt idx="15">
                  <c:v>75.872794117647004</c:v>
                </c:pt>
                <c:pt idx="16">
                  <c:v>75.598039215686228</c:v>
                </c:pt>
                <c:pt idx="17">
                  <c:v>75.44210526315787</c:v>
                </c:pt>
                <c:pt idx="18">
                  <c:v>75.436842105263082</c:v>
                </c:pt>
                <c:pt idx="19">
                  <c:v>75.364285714285657</c:v>
                </c:pt>
                <c:pt idx="20">
                  <c:v>75.237662337662286</c:v>
                </c:pt>
                <c:pt idx="21">
                  <c:v>75.203162055335895</c:v>
                </c:pt>
                <c:pt idx="22">
                  <c:v>75.39021739130429</c:v>
                </c:pt>
                <c:pt idx="23">
                  <c:v>75.555333333333309</c:v>
                </c:pt>
                <c:pt idx="24">
                  <c:v>75.596307692307661</c:v>
                </c:pt>
                <c:pt idx="25">
                  <c:v>75.518803418803401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8F-47CB-9691-FBADE26545D7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[0]!dailyLinearRegressionLinearRegression</c:f>
              <c:numCache>
                <c:formatCode>0.0</c:formatCode>
                <c:ptCount val="26"/>
                <c:pt idx="0">
                  <c:v>80.004035021447848</c:v>
                </c:pt>
                <c:pt idx="1">
                  <c:v>79.774271018634607</c:v>
                </c:pt>
                <c:pt idx="2">
                  <c:v>79.544507015821381</c:v>
                </c:pt>
                <c:pt idx="3">
                  <c:v>79.31474301300814</c:v>
                </c:pt>
                <c:pt idx="4">
                  <c:v>79.084979010194914</c:v>
                </c:pt>
                <c:pt idx="5">
                  <c:v>78.855215007381673</c:v>
                </c:pt>
                <c:pt idx="6">
                  <c:v>78.625451004568447</c:v>
                </c:pt>
                <c:pt idx="7">
                  <c:v>78.395687001755206</c:v>
                </c:pt>
                <c:pt idx="8">
                  <c:v>78.16592299894198</c:v>
                </c:pt>
                <c:pt idx="9">
                  <c:v>77.936158996128739</c:v>
                </c:pt>
                <c:pt idx="10">
                  <c:v>77.706394993315513</c:v>
                </c:pt>
                <c:pt idx="11">
                  <c:v>77.476630990502287</c:v>
                </c:pt>
                <c:pt idx="12">
                  <c:v>77.246866987689046</c:v>
                </c:pt>
                <c:pt idx="13">
                  <c:v>77.01710298487582</c:v>
                </c:pt>
                <c:pt idx="14">
                  <c:v>76.787338982062579</c:v>
                </c:pt>
                <c:pt idx="15">
                  <c:v>76.557574979249353</c:v>
                </c:pt>
                <c:pt idx="16">
                  <c:v>76.327810976436112</c:v>
                </c:pt>
                <c:pt idx="17">
                  <c:v>76.098046973622886</c:v>
                </c:pt>
                <c:pt idx="18">
                  <c:v>75.868282970809645</c:v>
                </c:pt>
                <c:pt idx="19">
                  <c:v>75.638518967996418</c:v>
                </c:pt>
                <c:pt idx="20">
                  <c:v>75.408754965183178</c:v>
                </c:pt>
                <c:pt idx="21">
                  <c:v>75.178990962369951</c:v>
                </c:pt>
                <c:pt idx="22">
                  <c:v>74.949226959556725</c:v>
                </c:pt>
                <c:pt idx="23">
                  <c:v>74.719462956743484</c:v>
                </c:pt>
                <c:pt idx="24">
                  <c:v>74.489698953930258</c:v>
                </c:pt>
                <c:pt idx="25">
                  <c:v>74.259934951117017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8F-47CB-9691-FBADE265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19136"/>
        <c:axId val="96637312"/>
      </c:lineChart>
      <c:catAx>
        <c:axId val="96619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37312"/>
        <c:crosses val="autoZero"/>
        <c:auto val="1"/>
        <c:lblAlgn val="ctr"/>
        <c:lblOffset val="100"/>
        <c:noMultiLvlLbl val="0"/>
      </c:catAx>
      <c:valAx>
        <c:axId val="966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6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711200</xdr:colOff>
          <xdr:row>10</xdr:row>
          <xdr:rowOff>12700</xdr:rowOff>
        </xdr:to>
        <xdr:sp macro="" textlink="">
          <xdr:nvSpPr>
            <xdr:cNvPr id="2059" name="btnReve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2</xdr:col>
          <xdr:colOff>273050</xdr:colOff>
          <xdr:row>9</xdr:row>
          <xdr:rowOff>0</xdr:rowOff>
        </xdr:to>
        <xdr:sp macro="" textlink="">
          <xdr:nvSpPr>
            <xdr:cNvPr id="2049" name="btnEnd" descr="Button to complete the current day without waiting for 00:0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51</xdr:col>
          <xdr:colOff>25400</xdr:colOff>
          <xdr:row>0</xdr:row>
          <xdr:rowOff>12700</xdr:rowOff>
        </xdr:from>
        <xdr:to>
          <xdr:col>51</xdr:col>
          <xdr:colOff>247650</xdr:colOff>
          <xdr:row>0</xdr:row>
          <xdr:rowOff>190500</xdr:rowOff>
        </xdr:to>
        <xdr:sp macro="" textlink="">
          <xdr:nvSpPr>
            <xdr:cNvPr id="2058" name="cbSignV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45</xdr:col>
          <xdr:colOff>25400</xdr:colOff>
          <xdr:row>0</xdr:row>
          <xdr:rowOff>12700</xdr:rowOff>
        </xdr:from>
        <xdr:to>
          <xdr:col>45</xdr:col>
          <xdr:colOff>247650</xdr:colOff>
          <xdr:row>0</xdr:row>
          <xdr:rowOff>190500</xdr:rowOff>
        </xdr:to>
        <xdr:sp macro="" textlink="">
          <xdr:nvSpPr>
            <xdr:cNvPr id="2057" name="cbSign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25400</xdr:colOff>
          <xdr:row>0</xdr:row>
          <xdr:rowOff>12700</xdr:rowOff>
        </xdr:from>
        <xdr:to>
          <xdr:col>39</xdr:col>
          <xdr:colOff>247650</xdr:colOff>
          <xdr:row>0</xdr:row>
          <xdr:rowOff>190500</xdr:rowOff>
        </xdr:to>
        <xdr:sp macro="" textlink="">
          <xdr:nvSpPr>
            <xdr:cNvPr id="2056" name="cbSignF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25400</xdr:colOff>
          <xdr:row>0</xdr:row>
          <xdr:rowOff>12700</xdr:rowOff>
        </xdr:from>
        <xdr:to>
          <xdr:col>33</xdr:col>
          <xdr:colOff>247650</xdr:colOff>
          <xdr:row>0</xdr:row>
          <xdr:rowOff>190500</xdr:rowOff>
        </xdr:to>
        <xdr:sp macro="" textlink="">
          <xdr:nvSpPr>
            <xdr:cNvPr id="2055" name="cbSig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25400</xdr:colOff>
          <xdr:row>0</xdr:row>
          <xdr:rowOff>12700</xdr:rowOff>
        </xdr:from>
        <xdr:to>
          <xdr:col>27</xdr:col>
          <xdr:colOff>247650</xdr:colOff>
          <xdr:row>0</xdr:row>
          <xdr:rowOff>190500</xdr:rowOff>
        </xdr:to>
        <xdr:sp macro="" textlink="">
          <xdr:nvSpPr>
            <xdr:cNvPr id="2054" name="cbSig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25400</xdr:colOff>
          <xdr:row>0</xdr:row>
          <xdr:rowOff>12700</xdr:rowOff>
        </xdr:from>
        <xdr:to>
          <xdr:col>21</xdr:col>
          <xdr:colOff>247650</xdr:colOff>
          <xdr:row>0</xdr:row>
          <xdr:rowOff>190500</xdr:rowOff>
        </xdr:to>
        <xdr:sp macro="" textlink="">
          <xdr:nvSpPr>
            <xdr:cNvPr id="2053" name="cbSig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25400</xdr:colOff>
          <xdr:row>0</xdr:row>
          <xdr:rowOff>12700</xdr:rowOff>
        </xdr:from>
        <xdr:to>
          <xdr:col>15</xdr:col>
          <xdr:colOff>247650</xdr:colOff>
          <xdr:row>0</xdr:row>
          <xdr:rowOff>190500</xdr:rowOff>
        </xdr:to>
        <xdr:sp macro="" textlink="">
          <xdr:nvSpPr>
            <xdr:cNvPr id="2052" name="cbSig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25400</xdr:colOff>
          <xdr:row>0</xdr:row>
          <xdr:rowOff>12700</xdr:rowOff>
        </xdr:from>
        <xdr:to>
          <xdr:col>9</xdr:col>
          <xdr:colOff>247650</xdr:colOff>
          <xdr:row>0</xdr:row>
          <xdr:rowOff>190500</xdr:rowOff>
        </xdr:to>
        <xdr:sp macro="" textlink="">
          <xdr:nvSpPr>
            <xdr:cNvPr id="2050" name="cbSig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60" name="btnPrevDa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btnNextDa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5399</xdr:colOff>
      <xdr:row>0</xdr:row>
      <xdr:rowOff>6776</xdr:rowOff>
    </xdr:from>
    <xdr:to>
      <xdr:col>16</xdr:col>
      <xdr:colOff>588818</xdr:colOff>
      <xdr:row>10</xdr:row>
      <xdr:rowOff>178659</xdr:rowOff>
    </xdr:to>
    <xdr:graphicFrame macro="">
      <xdr:nvGraphicFramePr>
        <xdr:cNvPr id="8" name="Chart 7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4535</xdr:colOff>
      <xdr:row>0</xdr:row>
      <xdr:rowOff>6780</xdr:rowOff>
    </xdr:from>
    <xdr:to>
      <xdr:col>24</xdr:col>
      <xdr:colOff>1</xdr:colOff>
      <xdr:row>10</xdr:row>
      <xdr:rowOff>178663</xdr:rowOff>
    </xdr:to>
    <xdr:graphicFrame macro="">
      <xdr:nvGraphicFramePr>
        <xdr:cNvPr id="9" name="Chart 8" descr="graph to display weekly avg weight and expected weekly avg weight by linear regressi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14060</xdr:colOff>
      <xdr:row>12</xdr:row>
      <xdr:rowOff>6765</xdr:rowOff>
    </xdr:from>
    <xdr:to>
      <xdr:col>23</xdr:col>
      <xdr:colOff>600075</xdr:colOff>
      <xdr:row>22</xdr:row>
      <xdr:rowOff>178648</xdr:rowOff>
    </xdr:to>
    <xdr:graphicFrame macro="">
      <xdr:nvGraphicFramePr>
        <xdr:cNvPr id="2" name="Chart 1" descr="graph to display weight reduction from each Sunday to next o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16</xdr:col>
      <xdr:colOff>586017</xdr:colOff>
      <xdr:row>22</xdr:row>
      <xdr:rowOff>171883</xdr:rowOff>
    </xdr:to>
    <xdr:graphicFrame macro="">
      <xdr:nvGraphicFramePr>
        <xdr:cNvPr id="12" name="Chart 11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Z60"/>
  <sheetViews>
    <sheetView zoomScaleNormal="100" workbookViewId="0">
      <pane xSplit="5" topLeftCell="F1" activePane="topRight" state="frozenSplit"/>
      <selection pane="topRight" activeCell="AK3" sqref="AK3"/>
    </sheetView>
  </sheetViews>
  <sheetFormatPr defaultColWidth="9.1796875" defaultRowHeight="15.5" x14ac:dyDescent="0.35"/>
  <cols>
    <col min="1" max="1" width="9.6328125" style="30" customWidth="1"/>
    <col min="2" max="2" width="11.36328125" style="30" customWidth="1"/>
    <col min="3" max="4" width="9.6328125" style="30" customWidth="1"/>
    <col min="5" max="5" width="3.1796875" style="30" customWidth="1"/>
    <col min="6" max="6" width="16.6328125" style="30" customWidth="1"/>
    <col min="7" max="9" width="8.6328125" style="30" customWidth="1"/>
    <col min="10" max="10" width="9.6328125" style="30" customWidth="1"/>
    <col min="11" max="11" width="3.1796875" style="30" customWidth="1"/>
    <col min="12" max="12" width="16.6328125" style="30" customWidth="1"/>
    <col min="13" max="15" width="8.6328125" style="30" customWidth="1"/>
    <col min="16" max="16" width="9.6328125" style="30" customWidth="1"/>
    <col min="17" max="17" width="3.1796875" style="30" customWidth="1"/>
    <col min="18" max="18" width="16.6328125" style="30" customWidth="1"/>
    <col min="19" max="21" width="8.6328125" style="30" customWidth="1"/>
    <col min="22" max="22" width="9.6328125" style="30" customWidth="1"/>
    <col min="23" max="23" width="3.1796875" style="30" customWidth="1"/>
    <col min="24" max="24" width="16.6328125" style="30" customWidth="1"/>
    <col min="25" max="27" width="8.6328125" style="30" customWidth="1"/>
    <col min="28" max="28" width="9.6328125" style="30" customWidth="1"/>
    <col min="29" max="29" width="3.1796875" style="30" customWidth="1"/>
    <col min="30" max="30" width="16.6328125" style="30" customWidth="1"/>
    <col min="31" max="33" width="8.6328125" style="30" customWidth="1"/>
    <col min="34" max="34" width="9.6328125" style="30" customWidth="1"/>
    <col min="35" max="35" width="3.1796875" style="30" customWidth="1"/>
    <col min="36" max="36" width="16.6328125" style="30" customWidth="1"/>
    <col min="37" max="39" width="8.6328125" style="30" customWidth="1"/>
    <col min="40" max="40" width="9.6328125" style="30" customWidth="1"/>
    <col min="41" max="41" width="3.1796875" style="30" customWidth="1"/>
    <col min="42" max="42" width="16.6328125" style="30" customWidth="1"/>
    <col min="43" max="45" width="8.6328125" style="30" customWidth="1"/>
    <col min="46" max="46" width="9.6328125" style="30" customWidth="1"/>
    <col min="47" max="47" width="3.1796875" style="30" customWidth="1"/>
    <col min="48" max="48" width="16.6328125" style="30" customWidth="1"/>
    <col min="49" max="51" width="8.6328125" style="30" customWidth="1"/>
    <col min="52" max="52" width="9.6328125" style="30" customWidth="1"/>
    <col min="53" max="53" width="3.1796875" style="30" customWidth="1"/>
    <col min="54" max="16384" width="9.1796875" style="30"/>
  </cols>
  <sheetData>
    <row r="1" spans="1:52" x14ac:dyDescent="0.35">
      <c r="A1" s="29"/>
      <c r="B1" s="62" t="s">
        <v>213</v>
      </c>
      <c r="C1" s="63"/>
      <c r="D1" s="28"/>
      <c r="F1" s="59" t="s">
        <v>6</v>
      </c>
      <c r="G1" s="60"/>
      <c r="H1" s="60"/>
      <c r="I1" s="60"/>
      <c r="J1" s="61"/>
      <c r="L1" s="59" t="s">
        <v>5</v>
      </c>
      <c r="M1" s="60"/>
      <c r="N1" s="60"/>
      <c r="O1" s="60"/>
      <c r="P1" s="61"/>
      <c r="R1" s="59" t="s">
        <v>7</v>
      </c>
      <c r="S1" s="60"/>
      <c r="T1" s="60"/>
      <c r="U1" s="60"/>
      <c r="V1" s="61"/>
      <c r="X1" s="59" t="s">
        <v>12</v>
      </c>
      <c r="Y1" s="60"/>
      <c r="Z1" s="60"/>
      <c r="AA1" s="60"/>
      <c r="AB1" s="61"/>
      <c r="AD1" s="59" t="s">
        <v>50</v>
      </c>
      <c r="AE1" s="60"/>
      <c r="AF1" s="60"/>
      <c r="AG1" s="60"/>
      <c r="AH1" s="61"/>
      <c r="AJ1" s="59" t="s">
        <v>59</v>
      </c>
      <c r="AK1" s="60"/>
      <c r="AL1" s="60"/>
      <c r="AM1" s="60"/>
      <c r="AN1" s="61"/>
      <c r="AP1" s="59" t="s">
        <v>52</v>
      </c>
      <c r="AQ1" s="60"/>
      <c r="AR1" s="60"/>
      <c r="AS1" s="60"/>
      <c r="AT1" s="61"/>
      <c r="AV1" s="59" t="s">
        <v>76</v>
      </c>
      <c r="AW1" s="60"/>
      <c r="AX1" s="60"/>
      <c r="AY1" s="60"/>
      <c r="AZ1" s="61"/>
    </row>
    <row r="2" spans="1:52" x14ac:dyDescent="0.35">
      <c r="A2" s="32"/>
      <c r="B2" s="33" t="s">
        <v>3</v>
      </c>
      <c r="C2" s="27">
        <v>85</v>
      </c>
      <c r="D2" s="35"/>
      <c r="F2" s="36"/>
      <c r="G2" s="56" t="s">
        <v>3</v>
      </c>
      <c r="H2" s="56" t="s">
        <v>0</v>
      </c>
      <c r="I2" s="56" t="s">
        <v>1</v>
      </c>
      <c r="J2" s="37" t="s">
        <v>2</v>
      </c>
      <c r="L2" s="36"/>
      <c r="M2" s="56" t="s">
        <v>3</v>
      </c>
      <c r="N2" s="56" t="s">
        <v>0</v>
      </c>
      <c r="O2" s="56" t="s">
        <v>1</v>
      </c>
      <c r="P2" s="37" t="s">
        <v>2</v>
      </c>
      <c r="R2" s="36"/>
      <c r="S2" s="56" t="s">
        <v>3</v>
      </c>
      <c r="T2" s="56" t="s">
        <v>0</v>
      </c>
      <c r="U2" s="56" t="s">
        <v>1</v>
      </c>
      <c r="V2" s="37" t="s">
        <v>2</v>
      </c>
      <c r="X2" s="36"/>
      <c r="Y2" s="56" t="s">
        <v>3</v>
      </c>
      <c r="Z2" s="56" t="s">
        <v>0</v>
      </c>
      <c r="AA2" s="56" t="s">
        <v>1</v>
      </c>
      <c r="AB2" s="37" t="s">
        <v>2</v>
      </c>
      <c r="AD2" s="36"/>
      <c r="AE2" s="56" t="s">
        <v>3</v>
      </c>
      <c r="AF2" s="56" t="s">
        <v>0</v>
      </c>
      <c r="AG2" s="56" t="s">
        <v>1</v>
      </c>
      <c r="AH2" s="37" t="s">
        <v>2</v>
      </c>
      <c r="AJ2" s="36"/>
      <c r="AK2" s="56" t="s">
        <v>3</v>
      </c>
      <c r="AL2" s="56" t="s">
        <v>0</v>
      </c>
      <c r="AM2" s="56" t="s">
        <v>1</v>
      </c>
      <c r="AN2" s="37" t="s">
        <v>2</v>
      </c>
      <c r="AP2" s="36"/>
      <c r="AQ2" s="56" t="s">
        <v>3</v>
      </c>
      <c r="AR2" s="56" t="s">
        <v>0</v>
      </c>
      <c r="AS2" s="56" t="s">
        <v>1</v>
      </c>
      <c r="AT2" s="37" t="s">
        <v>2</v>
      </c>
      <c r="AV2" s="36"/>
      <c r="AW2" s="56" t="s">
        <v>3</v>
      </c>
      <c r="AX2" s="56" t="s">
        <v>0</v>
      </c>
      <c r="AY2" s="56" t="s">
        <v>1</v>
      </c>
      <c r="AZ2" s="37" t="s">
        <v>2</v>
      </c>
    </row>
    <row r="3" spans="1:52" x14ac:dyDescent="0.35">
      <c r="A3" s="35"/>
      <c r="B3" s="38"/>
      <c r="C3" s="38"/>
      <c r="D3" s="39"/>
      <c r="F3" s="36" t="s">
        <v>30</v>
      </c>
      <c r="G3" s="57">
        <v>19</v>
      </c>
      <c r="H3" s="30">
        <f>IF(ISBLANK(F3),"", ROUND(IF(ISNA(VLOOKUP(F3,Foods!A:B,2,FALSE)),IF(ISNA(VLOOKUP(F3,Foods!G:H,2,FALSE)),IF(ISNA(VLOOKUP(F3,Foods!M:N,2,FALSE)),"NONE",(G3/100)*VLOOKUP(F3,Foods!M:N,2,FALSE)),(G3/100)*VLOOKUP(F3,Foods!G:H,2,FALSE)),(G3/100)*VLOOKUP(F3,Foods!A:B,2,FALSE)), 2))</f>
        <v>3.01</v>
      </c>
      <c r="I3" s="30">
        <f>IF(ISBLANK(F3),"", ROUND(IF(ISNA(VLOOKUP(F3,Foods!A:C,3,FALSE)),IF(ISNA(VLOOKUP(F3,Foods!G:I,3,FALSE)),IF(ISNA(VLOOKUP(F3,Foods!M:O,3,FALSE)),"NONE",(G3/100)*VLOOKUP(F3,Foods!M:O,3,FALSE)),(G3/100)*VLOOKUP(F3,Foods!G:I,3,FALSE)),(G3/100)*VLOOKUP(F3,Foods!A:C,3,FALSE)), 2))</f>
        <v>5.04</v>
      </c>
      <c r="J3" s="40">
        <f>IF(ISBLANK(F3),"", ROUND(IF(ISNA(VLOOKUP(F3,Foods!A:D,4,FALSE)),IF(ISNA(VLOOKUP(F3,Foods!G:J,4,FALSE)),IF(ISNA(VLOOKUP(F3,Foods!M:P,4,FALSE)),"NONE",(G3/100)*VLOOKUP(F3,Foods!M:P,4,FALSE)),(G3/100)*VLOOKUP(F3,Foods!G:J,4,FALSE)),(G3/100)*VLOOKUP(F3,Foods!A:D,4,FALSE)), 2))</f>
        <v>61.18</v>
      </c>
      <c r="L3" s="23" t="s">
        <v>45</v>
      </c>
      <c r="M3" s="58">
        <v>250</v>
      </c>
      <c r="N3" s="30">
        <f>IF(ISBLANK(L3),"", ROUND(IF(ISNA(VLOOKUP(L3,Foods!A:B,2,FALSE)),IF(ISNA(VLOOKUP(L3,Foods!G:H,2,FALSE)),IF(ISNA(VLOOKUP(L3,Foods!M:N,2,FALSE)),"NONE",(M3/100)*VLOOKUP(L3,Foods!M:N,2,FALSE)),(M3/100)*VLOOKUP(L3,Foods!G:H,2,FALSE)),(M3/100)*VLOOKUP(L3,Foods!A:B,2,FALSE)), 2))</f>
        <v>25.5</v>
      </c>
      <c r="O3" s="30">
        <f>IF(ISBLANK(L3),"", ROUND(IF(ISNA(VLOOKUP(L3,Foods!A:C,3,FALSE)),IF(ISNA(VLOOKUP(L3,Foods!G:I,3,FALSE)),IF(ISNA(VLOOKUP(L3,Foods!M:O,3,FALSE)),"NONE",(M3/100)*VLOOKUP(L3,Foods!M:O,3,FALSE)),(M3/100)*VLOOKUP(L3,Foods!G:I,3,FALSE)),(M3/100)*VLOOKUP(L3,Foods!A:C,3,FALSE)), 2))</f>
        <v>12.5</v>
      </c>
      <c r="P3" s="40">
        <f>IF(ISBLANK(L3),"", ROUND(IF(ISNA(VLOOKUP(L3,Foods!A:D,4,FALSE)),IF(ISNA(VLOOKUP(L3,Foods!G:J,4,FALSE)),IF(ISNA(VLOOKUP(L3,Foods!M:P,4,FALSE)),"NONE",(M3/100)*VLOOKUP(L3,Foods!M:P,4,FALSE)),(M3/100)*VLOOKUP(L3,Foods!G:J,4,FALSE)),(M3/100)*VLOOKUP(L3,Foods!A:D,4,FALSE)), 2))</f>
        <v>242.5</v>
      </c>
      <c r="R3" s="26"/>
      <c r="S3" s="24"/>
      <c r="T3" s="39"/>
      <c r="U3" s="39"/>
      <c r="V3" s="43"/>
      <c r="X3" s="23" t="s">
        <v>16</v>
      </c>
      <c r="Y3" s="58">
        <v>39</v>
      </c>
      <c r="Z3" s="30">
        <f>IF(ISBLANK(X3),"", ROUND(IF(ISNA(VLOOKUP(X3,Foods!A:B,2,FALSE)),IF(ISNA(VLOOKUP(X3,Foods!G:H,2,FALSE)),IF(ISNA(VLOOKUP(X3,Foods!M:N,2,FALSE)),"NONE",(Y3/100)*VLOOKUP(X3,Foods!M:N,2,FALSE)),(Y3/100)*VLOOKUP(X3,Foods!G:H,2,FALSE)),(Y3/100)*VLOOKUP(X3,Foods!A:B,2,FALSE)), 2))</f>
        <v>26.33</v>
      </c>
      <c r="AA3" s="30">
        <f>IF(ISBLANK(X3),"", ROUND(IF(ISNA(VLOOKUP(X3,Foods!A:C,3,FALSE)),IF(ISNA(VLOOKUP(X3,Foods!G:I,3,FALSE)),IF(ISNA(VLOOKUP(X3,Foods!M:O,3,FALSE)),"NONE",(Y3/100)*VLOOKUP(X3,Foods!M:O,3,FALSE)),(Y3/100)*VLOOKUP(X3,Foods!G:I,3,FALSE)),(Y3/100)*VLOOKUP(X3,Foods!A:C,3,FALSE)), 2))</f>
        <v>0.49</v>
      </c>
      <c r="AB3" s="40">
        <f>IF(ISBLANK(X3),"", ROUND(IF(ISNA(VLOOKUP(X3,Foods!A:D,4,FALSE)),IF(ISNA(VLOOKUP(X3,Foods!G:J,4,FALSE)),IF(ISNA(VLOOKUP(X3,Foods!M:P,4,FALSE)),"NONE",(Y3/100)*VLOOKUP(X3,Foods!M:P,4,FALSE)),(Y3/100)*VLOOKUP(X3,Foods!G:J,4,FALSE)),(Y3/100)*VLOOKUP(X3,Foods!A:D,4,FALSE)), 2))</f>
        <v>121.88</v>
      </c>
      <c r="AD3" s="23" t="s">
        <v>139</v>
      </c>
      <c r="AE3" s="58">
        <v>151</v>
      </c>
      <c r="AF3" s="30">
        <f>IF(ISBLANK(AD3),"", ROUND(IF(ISNA(VLOOKUP(AD3,Foods!A:B,2,FALSE)),IF(ISNA(VLOOKUP(AD3,Foods!G:H,2,FALSE)),IF(ISNA(VLOOKUP(AD3,Foods!M:N,2,FALSE)),"NONE",(AE3/100)*VLOOKUP(AD3,Foods!M:N,2,FALSE)),(AE3/100)*VLOOKUP(AD3,Foods!G:H,2,FALSE)),(AE3/100)*VLOOKUP(AD3,Foods!A:B,2,FALSE)), 2))</f>
        <v>41.53</v>
      </c>
      <c r="AG3" s="30">
        <f>IF(ISBLANK(AD3),"", ROUND(IF(ISNA(VLOOKUP(AD3,Foods!A:C,3,FALSE)),IF(ISNA(VLOOKUP(AD3,Foods!G:I,3,FALSE)),IF(ISNA(VLOOKUP(AD3,Foods!M:O,3,FALSE)),"NONE",(AE3/100)*VLOOKUP(AD3,Foods!M:O,3,FALSE)),(AE3/100)*VLOOKUP(AD3,Foods!G:I,3,FALSE)),(AE3/100)*VLOOKUP(AD3,Foods!A:C,3,FALSE)), 2))</f>
        <v>7.55</v>
      </c>
      <c r="AH3" s="40">
        <f>IF(ISBLANK(AD3),"", ROUND(IF(ISNA(VLOOKUP(AD3,Foods!A:D,4,FALSE)),IF(ISNA(VLOOKUP(AD3,Foods!G:J,4,FALSE)),IF(ISNA(VLOOKUP(AD3,Foods!M:P,4,FALSE)),"NONE",(AE3/100)*VLOOKUP(AD3,Foods!M:P,4,FALSE)),(AE3/100)*VLOOKUP(AD3,Foods!G:J,4,FALSE)),(AE3/100)*VLOOKUP(AD3,Foods!A:D,4,FALSE)), 2))</f>
        <v>244.62</v>
      </c>
      <c r="AJ3" s="23" t="s">
        <v>197</v>
      </c>
      <c r="AK3" s="58">
        <v>22</v>
      </c>
      <c r="AL3" s="30">
        <f>IF(ISBLANK(AJ3),"", ROUND(AK3*VLOOKUP(AJ3,Foods!M:N,2,FALSE)/100, 2))</f>
        <v>0.31</v>
      </c>
      <c r="AM3" s="30">
        <f>IF(ISBLANK(AJ3),"", ROUND(AK3*VLOOKUP(AJ3,Foods!M:O,3,FALSE)/100, 2))</f>
        <v>0.09</v>
      </c>
      <c r="AN3" s="40">
        <f>IF(ISBLANK(AJ3),"", ROUND(AK3*VLOOKUP(AJ3,Foods!M:P,4,FALSE)/100, 2))</f>
        <v>10.56</v>
      </c>
      <c r="AP3" s="23" t="s">
        <v>34</v>
      </c>
      <c r="AQ3" s="58">
        <v>0</v>
      </c>
      <c r="AR3" s="30">
        <f>IF(ISBLANK(AP3),"", ROUND(AQ3*VLOOKUP(AP3,Foods!G:H,2,FALSE)/100, 2))</f>
        <v>0</v>
      </c>
      <c r="AS3" s="30">
        <f>IF(ISBLANK(AP3),"", ROUND(AQ3*VLOOKUP(AP3,Foods!G:I,3,FALSE)/100, 2))</f>
        <v>0</v>
      </c>
      <c r="AT3" s="40">
        <f>IF(ISBLANK(AP3),"", ROUND(AQ3*VLOOKUP(AP3,Foods!G:J,4,FALSE)/100, 2))</f>
        <v>0</v>
      </c>
      <c r="AV3" s="23" t="s">
        <v>55</v>
      </c>
      <c r="AW3" s="58">
        <v>118</v>
      </c>
      <c r="AX3" s="30">
        <f>IF(ISBLANK(AV3),"", ROUND(AW3*VLOOKUP(AV3,Foods!M:N,2,FALSE)/100, 2))</f>
        <v>0.77</v>
      </c>
      <c r="AY3" s="30">
        <f>IF(ISBLANK(AV3),"", ROUND(AW3*VLOOKUP(AV3,Foods!M:O,3,FALSE)/100, 2))</f>
        <v>0.13</v>
      </c>
      <c r="AZ3" s="40">
        <f>IF(ISBLANK(AV3),"", ROUND(AW3*VLOOKUP(AV3,Foods!M:P,4,FALSE)/100, 2))</f>
        <v>17.7</v>
      </c>
    </row>
    <row r="4" spans="1:52" x14ac:dyDescent="0.35">
      <c r="A4" s="44"/>
      <c r="B4" s="33" t="s">
        <v>8</v>
      </c>
      <c r="C4" s="45" t="s">
        <v>9</v>
      </c>
      <c r="D4" s="46" t="s">
        <v>14</v>
      </c>
      <c r="F4" s="36" t="s">
        <v>77</v>
      </c>
      <c r="G4" s="57">
        <v>180</v>
      </c>
      <c r="H4" s="30">
        <f>IF(ISBLANK(F4),"", ROUND(IF(ISNA(VLOOKUP(F4,Foods!A:B,2,FALSE)),IF(ISNA(VLOOKUP(F4,Foods!G:H,2,FALSE)),IF(ISNA(VLOOKUP(F4,Foods!M:N,2,FALSE)),"NONE",(G4/100)*VLOOKUP(F4,Foods!M:N,2,FALSE)),(G4/100)*VLOOKUP(F4,Foods!G:H,2,FALSE)),(G4/100)*VLOOKUP(F4,Foods!A:B,2,FALSE)), 2))</f>
        <v>19.62</v>
      </c>
      <c r="I4" s="30">
        <f>IF(ISBLANK(F4),"", ROUND(IF(ISNA(VLOOKUP(F4,Foods!A:C,3,FALSE)),IF(ISNA(VLOOKUP(F4,Foods!G:I,3,FALSE)),IF(ISNA(VLOOKUP(F4,Foods!M:O,3,FALSE)),"NONE",(G4/100)*VLOOKUP(F4,Foods!M:O,3,FALSE)),(G4/100)*VLOOKUP(F4,Foods!G:I,3,FALSE)),(G4/100)*VLOOKUP(F4,Foods!A:C,3,FALSE)), 2))</f>
        <v>0.31</v>
      </c>
      <c r="J4" s="40">
        <f>IF(ISBLANK(F4),"", ROUND(IF(ISNA(VLOOKUP(F4,Foods!A:D,4,FALSE)),IF(ISNA(VLOOKUP(F4,Foods!G:J,4,FALSE)),IF(ISNA(VLOOKUP(F4,Foods!M:P,4,FALSE)),"NONE",(G4/100)*VLOOKUP(F4,Foods!M:P,4,FALSE)),(G4/100)*VLOOKUP(F4,Foods!G:J,4,FALSE)),(G4/100)*VLOOKUP(F4,Foods!A:D,4,FALSE)), 2))</f>
        <v>93.6</v>
      </c>
      <c r="L4" s="23" t="s">
        <v>26</v>
      </c>
      <c r="M4" s="58">
        <v>10</v>
      </c>
      <c r="N4" s="30">
        <f>IF(ISBLANK(L4),"", ROUND(IF(ISNA(VLOOKUP(L4,Foods!A:B,2,FALSE)),IF(ISNA(VLOOKUP(L4,Foods!G:H,2,FALSE)),IF(ISNA(VLOOKUP(L4,Foods!M:N,2,FALSE)),"NONE",(M4/100)*VLOOKUP(L4,Foods!M:N,2,FALSE)),(M4/100)*VLOOKUP(L4,Foods!G:H,2,FALSE)),(M4/100)*VLOOKUP(L4,Foods!A:B,2,FALSE)), 2))</f>
        <v>2.12</v>
      </c>
      <c r="O4" s="30">
        <f>IF(ISBLANK(L4),"", ROUND(IF(ISNA(VLOOKUP(L4,Foods!A:C,3,FALSE)),IF(ISNA(VLOOKUP(L4,Foods!G:I,3,FALSE)),IF(ISNA(VLOOKUP(L4,Foods!M:O,3,FALSE)),"NONE",(M4/100)*VLOOKUP(L4,Foods!M:O,3,FALSE)),(M4/100)*VLOOKUP(L4,Foods!G:I,3,FALSE)),(M4/100)*VLOOKUP(L4,Foods!A:C,3,FALSE)), 2))</f>
        <v>3.14</v>
      </c>
      <c r="P4" s="40">
        <f>IF(ISBLANK(L4),"", ROUND(IF(ISNA(VLOOKUP(L4,Foods!A:D,4,FALSE)),IF(ISNA(VLOOKUP(L4,Foods!G:J,4,FALSE)),IF(ISNA(VLOOKUP(L4,Foods!M:P,4,FALSE)),"NONE",(M4/100)*VLOOKUP(L4,Foods!M:P,4,FALSE)),(M4/100)*VLOOKUP(L4,Foods!G:J,4,FALSE)),(M4/100)*VLOOKUP(L4,Foods!A:D,4,FALSE)), 2))</f>
        <v>52.4</v>
      </c>
      <c r="R4" s="33" t="s">
        <v>4</v>
      </c>
      <c r="S4" s="47"/>
      <c r="T4" s="38">
        <f>T60</f>
        <v>0</v>
      </c>
      <c r="U4" s="38">
        <f>U60</f>
        <v>0</v>
      </c>
      <c r="V4" s="34">
        <f>V60</f>
        <v>0</v>
      </c>
      <c r="X4" s="23" t="s">
        <v>59</v>
      </c>
      <c r="Y4" s="57"/>
      <c r="Z4" s="30">
        <f>AL60</f>
        <v>0.31</v>
      </c>
      <c r="AA4" s="30">
        <f>AM60</f>
        <v>0.09</v>
      </c>
      <c r="AB4" s="40">
        <f>AN60</f>
        <v>10.56</v>
      </c>
      <c r="AD4" s="23" t="s">
        <v>20</v>
      </c>
      <c r="AE4" s="58">
        <v>56</v>
      </c>
      <c r="AF4" s="30">
        <f>IF(ISBLANK(AD4),"", ROUND(IF(ISNA(VLOOKUP(AD4,Foods!A:B,2,FALSE)),IF(ISNA(VLOOKUP(AD4,Foods!G:H,2,FALSE)),IF(ISNA(VLOOKUP(AD4,Foods!M:N,2,FALSE)),"NONE",(AE4/100)*VLOOKUP(AD4,Foods!M:N,2,FALSE)),(AE4/100)*VLOOKUP(AD4,Foods!G:H,2,FALSE)),(AE4/100)*VLOOKUP(AD4,Foods!A:B,2,FALSE)), 2))</f>
        <v>17.37</v>
      </c>
      <c r="AG4" s="30">
        <f>IF(ISBLANK(AD4),"", ROUND(IF(ISNA(VLOOKUP(AD4,Foods!A:C,3,FALSE)),IF(ISNA(VLOOKUP(AD4,Foods!G:I,3,FALSE)),IF(ISNA(VLOOKUP(AD4,Foods!M:O,3,FALSE)),"NONE",(AE4/100)*VLOOKUP(AD4,Foods!M:O,3,FALSE)),(AE4/100)*VLOOKUP(AD4,Foods!G:I,3,FALSE)),(AE4/100)*VLOOKUP(AD4,Foods!A:C,3,FALSE)), 2))</f>
        <v>2</v>
      </c>
      <c r="AH4" s="40">
        <f>IF(ISBLANK(AD4),"", ROUND(IF(ISNA(VLOOKUP(AD4,Foods!A:D,4,FALSE)),IF(ISNA(VLOOKUP(AD4,Foods!G:J,4,FALSE)),IF(ISNA(VLOOKUP(AD4,Foods!M:P,4,FALSE)),"NONE",(AE4/100)*VLOOKUP(AD4,Foods!M:P,4,FALSE)),(AE4/100)*VLOOKUP(AD4,Foods!G:J,4,FALSE)),(AE4/100)*VLOOKUP(AD4,Foods!A:D,4,FALSE)), 2))</f>
        <v>92.4</v>
      </c>
      <c r="AJ4" s="26"/>
      <c r="AK4" s="24"/>
      <c r="AL4" s="39"/>
      <c r="AM4" s="39"/>
      <c r="AN4" s="43"/>
      <c r="AP4" s="23" t="s">
        <v>28</v>
      </c>
      <c r="AQ4" s="58">
        <v>0</v>
      </c>
      <c r="AR4" s="30">
        <f>IF(ISBLANK(AP4),"", ROUND(AQ4*VLOOKUP(AP4,Foods!G:H,2,FALSE)/100, 2))</f>
        <v>0</v>
      </c>
      <c r="AS4" s="30">
        <f>IF(ISBLANK(AP4),"", ROUND(AQ4*VLOOKUP(AP4,Foods!G:I,3,FALSE)/100, 2))</f>
        <v>0</v>
      </c>
      <c r="AT4" s="40">
        <f>IF(ISBLANK(AP4),"", ROUND(AQ4*VLOOKUP(AP4,Foods!G:J,4,FALSE)/100, 2))</f>
        <v>0</v>
      </c>
      <c r="AV4" s="26"/>
      <c r="AW4" s="24"/>
      <c r="AX4" s="39"/>
      <c r="AY4" s="39"/>
      <c r="AZ4" s="43"/>
    </row>
    <row r="5" spans="1:52" x14ac:dyDescent="0.35">
      <c r="A5" s="48" t="s">
        <v>0</v>
      </c>
      <c r="B5" s="49">
        <f>ROUND(SUM(H60,N60,T60,Z60,AF60),2)</f>
        <v>152.82</v>
      </c>
      <c r="C5" s="31">
        <f>ROUND(INDEX(DBSettings!B:B,MATCH("Daily Protein perKg",DBSettings!A:A,0))*C2,2)</f>
        <v>161.5</v>
      </c>
      <c r="D5" s="50">
        <f>ROUND(C5-B5,2)</f>
        <v>8.68</v>
      </c>
      <c r="F5" s="41" t="s">
        <v>39</v>
      </c>
      <c r="G5" s="42">
        <v>17</v>
      </c>
      <c r="H5" s="39">
        <f>IF(ISBLANK(F5),"", ROUND(IF(ISNA(VLOOKUP(F5,Foods!A:B,2,FALSE)),IF(ISNA(VLOOKUP(F5,Foods!G:H,2,FALSE)),IF(ISNA(VLOOKUP(F5,Foods!M:N,2,FALSE)),"NONE",(G5/100)*VLOOKUP(F5,Foods!M:N,2,FALSE)),(G5/100)*VLOOKUP(F5,Foods!G:H,2,FALSE)),(G5/100)*VLOOKUP(F5,Foods!A:B,2,FALSE)), 2))</f>
        <v>4.08</v>
      </c>
      <c r="I5" s="39">
        <f>IF(ISBLANK(F5),"", ROUND(IF(ISNA(VLOOKUP(F5,Foods!A:C,3,FALSE)),IF(ISNA(VLOOKUP(F5,Foods!G:I,3,FALSE)),IF(ISNA(VLOOKUP(F5,Foods!M:O,3,FALSE)),"NONE",(G5/100)*VLOOKUP(F5,Foods!M:O,3,FALSE)),(G5/100)*VLOOKUP(F5,Foods!G:I,3,FALSE)),(G5/100)*VLOOKUP(F5,Foods!A:C,3,FALSE)), 2))</f>
        <v>10.199999999999999</v>
      </c>
      <c r="J5" s="43">
        <f>IF(ISBLANK(F5),"", ROUND(IF(ISNA(VLOOKUP(F5,Foods!A:D,4,FALSE)),IF(ISNA(VLOOKUP(F5,Foods!G:J,4,FALSE)),IF(ISNA(VLOOKUP(F5,Foods!M:P,4,FALSE)),"NONE",(G5/100)*VLOOKUP(F5,Foods!M:P,4,FALSE)),(G5/100)*VLOOKUP(F5,Foods!G:J,4,FALSE)),(G5/100)*VLOOKUP(F5,Foods!A:D,4,FALSE)), 2))</f>
        <v>121.04</v>
      </c>
      <c r="L5" s="26"/>
      <c r="M5" s="24"/>
      <c r="N5" s="39"/>
      <c r="O5" s="39"/>
      <c r="P5" s="43"/>
      <c r="R5" s="56"/>
      <c r="S5" s="57"/>
      <c r="X5" s="23" t="s">
        <v>52</v>
      </c>
      <c r="Y5" s="57"/>
      <c r="Z5" s="30">
        <f>AR60</f>
        <v>0</v>
      </c>
      <c r="AA5" s="30">
        <f>AS60</f>
        <v>0</v>
      </c>
      <c r="AB5" s="40">
        <f>AT60</f>
        <v>0</v>
      </c>
      <c r="AD5" s="23" t="s">
        <v>40</v>
      </c>
      <c r="AE5" s="58">
        <v>135</v>
      </c>
      <c r="AF5" s="30">
        <f>IF(ISBLANK(AD5),"", ROUND(IF(ISNA(VLOOKUP(AD5,Foods!A:B,2,FALSE)),IF(ISNA(VLOOKUP(AD5,Foods!G:H,2,FALSE)),IF(ISNA(VLOOKUP(AD5,Foods!M:N,2,FALSE)),"NONE",(AE5/100)*VLOOKUP(AD5,Foods!M:N,2,FALSE)),(AE5/100)*VLOOKUP(AD5,Foods!G:H,2,FALSE)),(AE5/100)*VLOOKUP(AD5,Foods!A:B,2,FALSE)), 2))</f>
        <v>12.18</v>
      </c>
      <c r="AG5" s="30">
        <f>IF(ISBLANK(AD5),"", ROUND(IF(ISNA(VLOOKUP(AD5,Foods!A:C,3,FALSE)),IF(ISNA(VLOOKUP(AD5,Foods!G:I,3,FALSE)),IF(ISNA(VLOOKUP(AD5,Foods!M:O,3,FALSE)),"NONE",(AE5/100)*VLOOKUP(AD5,Foods!M:O,3,FALSE)),(AE5/100)*VLOOKUP(AD5,Foods!G:I,3,FALSE)),(AE5/100)*VLOOKUP(AD5,Foods!A:C,3,FALSE)), 2))</f>
        <v>0.51</v>
      </c>
      <c r="AH5" s="40">
        <f>IF(ISBLANK(AD5),"", ROUND(IF(ISNA(VLOOKUP(AD5,Foods!A:D,4,FALSE)),IF(ISNA(VLOOKUP(AD5,Foods!G:J,4,FALSE)),IF(ISNA(VLOOKUP(AD5,Foods!M:P,4,FALSE)),"NONE",(AE5/100)*VLOOKUP(AD5,Foods!M:P,4,FALSE)),(AE5/100)*VLOOKUP(AD5,Foods!G:J,4,FALSE)),(AE5/100)*VLOOKUP(AD5,Foods!A:D,4,FALSE)), 2))</f>
        <v>156.6</v>
      </c>
      <c r="AJ5" s="33" t="s">
        <v>4</v>
      </c>
      <c r="AK5" s="47"/>
      <c r="AL5" s="38">
        <f>AL60</f>
        <v>0.31</v>
      </c>
      <c r="AM5" s="38">
        <f>AM60</f>
        <v>0.09</v>
      </c>
      <c r="AN5" s="34">
        <f>AN60</f>
        <v>10.56</v>
      </c>
      <c r="AP5" s="26"/>
      <c r="AQ5" s="24"/>
      <c r="AR5" s="39"/>
      <c r="AS5" s="39"/>
      <c r="AT5" s="43"/>
      <c r="AV5" s="33" t="s">
        <v>4</v>
      </c>
      <c r="AW5" s="47"/>
      <c r="AX5" s="38">
        <f>AX60</f>
        <v>0.77</v>
      </c>
      <c r="AY5" s="38">
        <f>AY60</f>
        <v>0.13</v>
      </c>
      <c r="AZ5" s="34">
        <f>AZ60</f>
        <v>17.7</v>
      </c>
    </row>
    <row r="6" spans="1:52" x14ac:dyDescent="0.35">
      <c r="A6" s="51" t="s">
        <v>1</v>
      </c>
      <c r="B6" s="35">
        <f>ROUND(SUM(I60,O60,U60,AA60,AG60)*9,2)</f>
        <v>377.64</v>
      </c>
      <c r="C6" s="30">
        <f>ROUND(C7*INDEX(DBSettings!B:B,MATCH("Daily Fat perKg",DBSettings!A:A,0)),2)</f>
        <v>443.4</v>
      </c>
      <c r="D6" s="52">
        <f>ROUND(C6-B6,2)</f>
        <v>65.760000000000005</v>
      </c>
      <c r="F6" s="33" t="s">
        <v>4</v>
      </c>
      <c r="G6" s="47"/>
      <c r="H6" s="38">
        <f>H60</f>
        <v>26.71</v>
      </c>
      <c r="I6" s="38">
        <f>I60</f>
        <v>15.55</v>
      </c>
      <c r="J6" s="34">
        <f>J60</f>
        <v>275.82</v>
      </c>
      <c r="L6" s="33" t="s">
        <v>4</v>
      </c>
      <c r="M6" s="47"/>
      <c r="N6" s="38">
        <f>N60</f>
        <v>27.62</v>
      </c>
      <c r="O6" s="38">
        <f>O60</f>
        <v>15.64</v>
      </c>
      <c r="P6" s="34">
        <f>P60</f>
        <v>294.89999999999998</v>
      </c>
      <c r="R6" s="56"/>
      <c r="S6" s="57"/>
      <c r="X6" s="26"/>
      <c r="Y6" s="24"/>
      <c r="Z6" s="39"/>
      <c r="AA6" s="39"/>
      <c r="AB6" s="43"/>
      <c r="AD6" s="23" t="s">
        <v>76</v>
      </c>
      <c r="AE6" s="57"/>
      <c r="AF6" s="30">
        <f>AX60</f>
        <v>0.77</v>
      </c>
      <c r="AG6" s="30">
        <f>AY60</f>
        <v>0.13</v>
      </c>
      <c r="AH6" s="40">
        <f>AZ60</f>
        <v>17.7</v>
      </c>
      <c r="AJ6" s="56"/>
      <c r="AK6" s="57"/>
      <c r="AP6" s="33" t="s">
        <v>4</v>
      </c>
      <c r="AQ6" s="47"/>
      <c r="AR6" s="38">
        <f>AR60</f>
        <v>0</v>
      </c>
      <c r="AS6" s="38">
        <f>AS60</f>
        <v>0</v>
      </c>
      <c r="AT6" s="34">
        <f>AT60</f>
        <v>0</v>
      </c>
      <c r="AV6" s="56"/>
      <c r="AW6" s="57"/>
    </row>
    <row r="7" spans="1:52" x14ac:dyDescent="0.35">
      <c r="A7" s="53" t="s">
        <v>2</v>
      </c>
      <c r="B7" s="54">
        <f>ROUND(SUM(J60,P60,V60,AB60,AH60),2)</f>
        <v>1214.48</v>
      </c>
      <c r="C7" s="39">
        <f>ROUND(IF(LOWER(TRIM(INDEX(DBSettings!B:B,MATCH("Calorie Type",DBSettings!A:A,0))))="surplus"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UPPER(TRIM(INDEX(DBSettings!B:B,MATCH("Gender",DBSettings!A:A,0))))="M",5,IF(UPPER(TRIM(INDEX(DBSettings!B:B,MATCH("Gender",DBSettings!A:A,0))))="F",-161,NA())))*INDEX(DBSettings!B:B,MATCH("TDEE Multiplier",DBSettings!A:A,0)))+INDEX(DBSettings!B:B,MATCH("Daily Calories",DBSettings!A:A,0))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UPPER(TRIM(INDEX(DBSettings!B:B,MATCH("Gender",DBSettings!A:A,0))))="M",5,IF(UPPER(TRIM(INDEX(DBSettings!B:B,MATCH("Gender",DBSettings!A:A,0))))="F",-161,NA())))*INDEX(DBSettings!B:B,MATCH("TDEE Multiplier",DBSettings!A:A,0)))-INDEX(DBSettings!B:B,MATCH("Daily Calories",DBSettings!A:A,0))),2)</f>
        <v>1478</v>
      </c>
      <c r="D7" s="55">
        <f>ROUND(C7-B7,2)</f>
        <v>263.52</v>
      </c>
      <c r="F7" s="56"/>
      <c r="G7" s="57"/>
      <c r="L7" s="56"/>
      <c r="M7" s="57"/>
      <c r="R7" s="56"/>
      <c r="S7" s="57"/>
      <c r="X7" s="33" t="s">
        <v>4</v>
      </c>
      <c r="Y7" s="47"/>
      <c r="Z7" s="38">
        <f>Z60</f>
        <v>26.64</v>
      </c>
      <c r="AA7" s="38">
        <f>AA60</f>
        <v>0.57999999999999996</v>
      </c>
      <c r="AB7" s="34">
        <f>AB60</f>
        <v>132.44</v>
      </c>
      <c r="AD7" s="26"/>
      <c r="AE7" s="24"/>
      <c r="AF7" s="39"/>
      <c r="AG7" s="39"/>
      <c r="AH7" s="43"/>
      <c r="AJ7" s="56"/>
      <c r="AK7" s="57"/>
      <c r="AP7" s="56"/>
      <c r="AQ7" s="57"/>
      <c r="AV7" s="56"/>
      <c r="AW7" s="57"/>
    </row>
    <row r="8" spans="1:52" x14ac:dyDescent="0.35">
      <c r="F8" s="56"/>
      <c r="G8" s="57"/>
      <c r="L8" s="56"/>
      <c r="M8" s="57"/>
      <c r="R8" s="56"/>
      <c r="S8" s="57"/>
      <c r="X8" s="56"/>
      <c r="Y8" s="57"/>
      <c r="AD8" s="33" t="s">
        <v>4</v>
      </c>
      <c r="AE8" s="47"/>
      <c r="AF8" s="38">
        <f>AF60</f>
        <v>71.849999999999994</v>
      </c>
      <c r="AG8" s="38">
        <f>AG60</f>
        <v>10.19</v>
      </c>
      <c r="AH8" s="34">
        <f>AH60</f>
        <v>511.32</v>
      </c>
      <c r="AJ8" s="56"/>
      <c r="AK8" s="57"/>
      <c r="AP8" s="56"/>
      <c r="AQ8" s="57"/>
      <c r="AV8" s="56"/>
      <c r="AW8" s="57"/>
    </row>
    <row r="9" spans="1:52" x14ac:dyDescent="0.35">
      <c r="F9" s="56"/>
      <c r="G9" s="57"/>
      <c r="L9" s="56"/>
      <c r="M9" s="57"/>
      <c r="R9" s="56"/>
      <c r="S9" s="57"/>
      <c r="X9" s="56"/>
      <c r="Y9" s="57"/>
      <c r="AD9" s="56"/>
      <c r="AE9" s="57"/>
      <c r="AJ9" s="56"/>
      <c r="AK9" s="57"/>
      <c r="AP9" s="56"/>
      <c r="AQ9" s="57"/>
      <c r="AV9" s="56"/>
      <c r="AW9" s="57"/>
    </row>
    <row r="10" spans="1:52" x14ac:dyDescent="0.35">
      <c r="F10" s="56"/>
      <c r="G10" s="57"/>
      <c r="L10" s="56"/>
      <c r="M10" s="57"/>
      <c r="R10" s="56"/>
      <c r="S10" s="57"/>
      <c r="X10" s="56"/>
      <c r="Y10" s="57"/>
      <c r="AD10" s="56"/>
      <c r="AE10" s="57"/>
      <c r="AJ10" s="56"/>
      <c r="AK10" s="57"/>
      <c r="AP10" s="56"/>
      <c r="AQ10" s="57"/>
      <c r="AV10" s="56"/>
      <c r="AW10" s="57"/>
    </row>
    <row r="11" spans="1:52" x14ac:dyDescent="0.35">
      <c r="F11" s="56"/>
      <c r="G11" s="57"/>
      <c r="L11" s="56"/>
      <c r="M11" s="57"/>
      <c r="R11" s="56"/>
      <c r="S11" s="57"/>
      <c r="X11" s="56"/>
      <c r="Y11" s="57"/>
      <c r="AD11" s="56"/>
      <c r="AE11" s="57"/>
      <c r="AJ11" s="56"/>
      <c r="AK11" s="57"/>
      <c r="AP11" s="56"/>
      <c r="AQ11" s="57"/>
      <c r="AV11" s="56"/>
      <c r="AW11" s="57"/>
    </row>
    <row r="12" spans="1:52" x14ac:dyDescent="0.35">
      <c r="F12" s="56"/>
      <c r="G12" s="57"/>
      <c r="L12" s="56"/>
      <c r="M12" s="57"/>
      <c r="R12" s="56"/>
      <c r="S12" s="57"/>
      <c r="X12" s="56"/>
      <c r="Y12" s="57"/>
      <c r="AD12" s="56"/>
      <c r="AE12" s="57"/>
      <c r="AJ12" s="56"/>
      <c r="AK12" s="57"/>
      <c r="AP12" s="56"/>
      <c r="AQ12" s="57"/>
      <c r="AV12" s="56"/>
      <c r="AW12" s="57"/>
    </row>
    <row r="13" spans="1:52" x14ac:dyDescent="0.35">
      <c r="F13" s="56"/>
      <c r="G13" s="57"/>
      <c r="L13" s="56"/>
      <c r="M13" s="57"/>
      <c r="R13" s="56"/>
      <c r="S13" s="57"/>
      <c r="X13" s="56"/>
      <c r="Y13" s="57"/>
      <c r="AD13" s="56"/>
      <c r="AE13" s="57"/>
      <c r="AJ13" s="56"/>
      <c r="AK13" s="57"/>
      <c r="AP13" s="56"/>
      <c r="AQ13" s="57"/>
      <c r="AV13" s="56"/>
      <c r="AW13" s="57"/>
    </row>
    <row r="14" spans="1:52" x14ac:dyDescent="0.35">
      <c r="F14" s="56"/>
      <c r="G14" s="57"/>
      <c r="L14" s="56"/>
      <c r="M14" s="57"/>
      <c r="R14" s="56"/>
      <c r="S14" s="57"/>
      <c r="X14" s="56"/>
      <c r="Y14" s="57"/>
      <c r="AD14" s="56"/>
      <c r="AE14" s="57"/>
      <c r="AJ14" s="56"/>
      <c r="AK14" s="57"/>
      <c r="AP14" s="56"/>
      <c r="AQ14" s="57"/>
      <c r="AV14" s="56"/>
      <c r="AW14" s="57"/>
    </row>
    <row r="15" spans="1:52" x14ac:dyDescent="0.35">
      <c r="F15" s="56"/>
      <c r="G15" s="57"/>
      <c r="L15" s="56"/>
      <c r="M15" s="57"/>
      <c r="R15" s="56"/>
      <c r="S15" s="57"/>
      <c r="X15" s="56"/>
      <c r="Y15" s="57"/>
      <c r="AD15" s="56"/>
      <c r="AE15" s="57"/>
      <c r="AJ15" s="56"/>
      <c r="AK15" s="57"/>
      <c r="AP15" s="56"/>
      <c r="AQ15" s="57"/>
      <c r="AV15" s="56"/>
      <c r="AW15" s="57"/>
    </row>
    <row r="16" spans="1:52" x14ac:dyDescent="0.35">
      <c r="F16" s="56"/>
      <c r="G16" s="57"/>
      <c r="L16" s="56"/>
      <c r="M16" s="57"/>
      <c r="R16" s="56"/>
      <c r="S16" s="57"/>
      <c r="X16" s="56"/>
      <c r="Y16" s="57"/>
      <c r="AD16" s="56"/>
      <c r="AE16" s="57"/>
      <c r="AJ16" s="56"/>
      <c r="AK16" s="57"/>
      <c r="AP16" s="56"/>
      <c r="AQ16" s="57"/>
      <c r="AV16" s="56"/>
      <c r="AW16" s="57"/>
    </row>
    <row r="17" spans="1:49" x14ac:dyDescent="0.35">
      <c r="F17" s="56"/>
      <c r="G17" s="57"/>
      <c r="L17" s="56"/>
      <c r="M17" s="57"/>
      <c r="R17" s="56"/>
      <c r="S17" s="57"/>
      <c r="X17" s="56"/>
      <c r="Y17" s="57"/>
      <c r="AD17" s="56"/>
      <c r="AE17" s="57"/>
      <c r="AJ17" s="56"/>
      <c r="AK17" s="57"/>
      <c r="AP17" s="56"/>
      <c r="AQ17" s="57"/>
      <c r="AV17" s="56"/>
      <c r="AW17" s="57"/>
    </row>
    <row r="18" spans="1:49" x14ac:dyDescent="0.35">
      <c r="F18" s="56"/>
      <c r="G18" s="57"/>
      <c r="L18" s="56"/>
      <c r="M18" s="57"/>
      <c r="R18" s="56"/>
      <c r="S18" s="57"/>
      <c r="X18" s="56"/>
      <c r="Y18" s="57"/>
      <c r="AD18" s="56"/>
      <c r="AE18" s="57"/>
      <c r="AJ18" s="56"/>
      <c r="AK18" s="57"/>
      <c r="AP18" s="56"/>
      <c r="AQ18" s="57"/>
      <c r="AV18" s="56"/>
      <c r="AW18" s="57"/>
    </row>
    <row r="19" spans="1:49" x14ac:dyDescent="0.35">
      <c r="F19" s="56"/>
      <c r="G19" s="57"/>
      <c r="L19" s="56"/>
      <c r="M19" s="57"/>
      <c r="R19" s="56"/>
      <c r="S19" s="57"/>
      <c r="X19" s="56"/>
      <c r="Y19" s="57"/>
      <c r="AD19" s="56"/>
      <c r="AE19" s="57"/>
      <c r="AJ19" s="56"/>
      <c r="AK19" s="57"/>
      <c r="AP19" s="56"/>
      <c r="AQ19" s="57"/>
      <c r="AV19" s="56"/>
      <c r="AW19" s="57"/>
    </row>
    <row r="20" spans="1:49" x14ac:dyDescent="0.35">
      <c r="F20" s="56"/>
      <c r="G20" s="57"/>
      <c r="L20" s="56"/>
      <c r="M20" s="57"/>
      <c r="R20" s="56"/>
      <c r="S20" s="57"/>
      <c r="X20" s="56"/>
      <c r="Y20" s="57"/>
      <c r="AD20" s="56"/>
      <c r="AE20" s="57"/>
      <c r="AJ20" s="56"/>
      <c r="AK20" s="57"/>
      <c r="AP20" s="56"/>
      <c r="AQ20" s="57"/>
      <c r="AV20" s="56"/>
      <c r="AW20" s="57"/>
    </row>
    <row r="21" spans="1:49" x14ac:dyDescent="0.35">
      <c r="A21" s="22"/>
      <c r="B21" s="22"/>
      <c r="F21" s="56"/>
      <c r="G21" s="57"/>
      <c r="L21" s="56"/>
      <c r="M21" s="57"/>
      <c r="R21" s="56"/>
      <c r="S21" s="57"/>
      <c r="X21" s="56"/>
      <c r="Y21" s="57"/>
      <c r="AD21" s="56"/>
      <c r="AE21" s="57"/>
      <c r="AJ21" s="56"/>
      <c r="AK21" s="57"/>
      <c r="AP21" s="56"/>
      <c r="AQ21" s="57"/>
      <c r="AV21" s="56"/>
      <c r="AW21" s="57"/>
    </row>
    <row r="22" spans="1:49" x14ac:dyDescent="0.35">
      <c r="A22" s="22"/>
      <c r="B22" s="22"/>
      <c r="F22" s="56"/>
      <c r="G22" s="57"/>
      <c r="L22" s="56"/>
      <c r="M22" s="57"/>
      <c r="R22" s="56"/>
      <c r="S22" s="57"/>
      <c r="X22" s="56"/>
      <c r="Y22" s="57"/>
      <c r="AD22" s="56"/>
      <c r="AE22" s="57"/>
      <c r="AJ22" s="56"/>
      <c r="AK22" s="57"/>
      <c r="AP22" s="56"/>
      <c r="AQ22" s="57"/>
      <c r="AV22" s="56"/>
      <c r="AW22" s="57"/>
    </row>
    <row r="23" spans="1:49" x14ac:dyDescent="0.35">
      <c r="A23" s="22"/>
      <c r="B23" s="22"/>
      <c r="F23" s="56"/>
      <c r="G23" s="57"/>
      <c r="L23" s="56"/>
      <c r="M23" s="57"/>
      <c r="R23" s="56"/>
      <c r="S23" s="57"/>
      <c r="X23" s="56"/>
      <c r="Y23" s="57"/>
      <c r="AD23" s="56"/>
      <c r="AE23" s="57"/>
      <c r="AJ23" s="56"/>
      <c r="AK23" s="57"/>
      <c r="AP23" s="56"/>
      <c r="AQ23" s="57"/>
      <c r="AV23" s="56"/>
      <c r="AW23" s="57"/>
    </row>
    <row r="24" spans="1:49" x14ac:dyDescent="0.35">
      <c r="A24" s="22"/>
      <c r="B24" s="22"/>
      <c r="F24" s="56"/>
      <c r="G24" s="57"/>
      <c r="L24" s="56"/>
      <c r="M24" s="57"/>
      <c r="R24" s="56"/>
      <c r="S24" s="57"/>
      <c r="X24" s="56"/>
      <c r="Y24" s="57"/>
      <c r="AD24" s="56"/>
      <c r="AE24" s="57"/>
      <c r="AJ24" s="56"/>
      <c r="AK24" s="57"/>
      <c r="AP24" s="56"/>
      <c r="AQ24" s="57"/>
      <c r="AV24" s="56"/>
      <c r="AW24" s="57"/>
    </row>
    <row r="25" spans="1:49" x14ac:dyDescent="0.35">
      <c r="A25" s="22"/>
      <c r="B25" s="22"/>
      <c r="F25" s="56"/>
      <c r="G25" s="57"/>
      <c r="L25" s="56"/>
      <c r="M25" s="57"/>
      <c r="R25" s="56"/>
      <c r="S25" s="57"/>
      <c r="X25" s="56"/>
      <c r="Y25" s="57"/>
      <c r="AD25" s="56"/>
      <c r="AE25" s="57"/>
      <c r="AJ25" s="56"/>
      <c r="AK25" s="57"/>
      <c r="AP25" s="56"/>
      <c r="AQ25" s="57"/>
      <c r="AV25" s="56"/>
      <c r="AW25" s="57"/>
    </row>
    <row r="26" spans="1:49" x14ac:dyDescent="0.35">
      <c r="F26" s="56"/>
      <c r="G26" s="57"/>
      <c r="L26" s="56"/>
      <c r="M26" s="57"/>
      <c r="R26" s="56"/>
      <c r="S26" s="57"/>
      <c r="X26" s="56"/>
      <c r="Y26" s="57"/>
      <c r="AD26" s="56"/>
      <c r="AE26" s="57"/>
      <c r="AJ26" s="56"/>
      <c r="AK26" s="57"/>
      <c r="AP26" s="56"/>
      <c r="AQ26" s="57"/>
      <c r="AV26" s="56"/>
      <c r="AW26" s="57"/>
    </row>
    <row r="27" spans="1:49" x14ac:dyDescent="0.35">
      <c r="F27" s="56"/>
      <c r="G27" s="57"/>
      <c r="L27" s="56"/>
      <c r="M27" s="57"/>
      <c r="R27" s="56"/>
      <c r="S27" s="57"/>
      <c r="X27" s="56"/>
      <c r="Y27" s="57"/>
      <c r="AD27" s="56"/>
      <c r="AE27" s="57"/>
      <c r="AJ27" s="56"/>
      <c r="AK27" s="57"/>
      <c r="AP27" s="56"/>
      <c r="AQ27" s="57"/>
      <c r="AV27" s="56"/>
      <c r="AW27" s="57"/>
    </row>
    <row r="28" spans="1:49" x14ac:dyDescent="0.35">
      <c r="F28" s="56"/>
      <c r="G28" s="57"/>
      <c r="L28" s="56"/>
      <c r="M28" s="57"/>
      <c r="R28" s="56"/>
      <c r="S28" s="57"/>
      <c r="X28" s="56"/>
      <c r="Y28" s="57"/>
      <c r="AD28" s="56"/>
      <c r="AE28" s="57"/>
      <c r="AJ28" s="56"/>
      <c r="AK28" s="57"/>
      <c r="AP28" s="56"/>
      <c r="AQ28" s="57"/>
      <c r="AV28" s="56"/>
      <c r="AW28" s="57"/>
    </row>
    <row r="29" spans="1:49" x14ac:dyDescent="0.35">
      <c r="F29" s="56"/>
      <c r="G29" s="57"/>
      <c r="L29" s="56"/>
      <c r="M29" s="57"/>
      <c r="R29" s="56"/>
      <c r="S29" s="57"/>
      <c r="X29" s="56"/>
      <c r="Y29" s="57"/>
      <c r="AD29" s="56"/>
      <c r="AE29" s="57"/>
      <c r="AJ29" s="56"/>
      <c r="AK29" s="57"/>
      <c r="AP29" s="56"/>
      <c r="AQ29" s="57"/>
      <c r="AV29" s="56"/>
      <c r="AW29" s="57"/>
    </row>
    <row r="30" spans="1:49" x14ac:dyDescent="0.35">
      <c r="A30" s="22"/>
      <c r="F30" s="56"/>
      <c r="G30" s="57"/>
      <c r="L30" s="56"/>
      <c r="M30" s="57"/>
      <c r="R30" s="56"/>
      <c r="S30" s="57"/>
      <c r="X30" s="56"/>
      <c r="Y30" s="57"/>
      <c r="AD30" s="56"/>
      <c r="AE30" s="57"/>
      <c r="AJ30" s="56"/>
      <c r="AK30" s="57"/>
      <c r="AP30" s="56"/>
      <c r="AQ30" s="57"/>
      <c r="AV30" s="56"/>
      <c r="AW30" s="57"/>
    </row>
    <row r="31" spans="1:49" x14ac:dyDescent="0.35">
      <c r="F31" s="56"/>
      <c r="G31" s="57"/>
      <c r="L31" s="56"/>
      <c r="M31" s="57"/>
      <c r="R31" s="56"/>
      <c r="S31" s="57"/>
      <c r="X31" s="56"/>
      <c r="Y31" s="57"/>
      <c r="AD31" s="56"/>
      <c r="AE31" s="57"/>
      <c r="AJ31" s="56"/>
      <c r="AK31" s="57"/>
      <c r="AP31" s="56"/>
      <c r="AQ31" s="57"/>
      <c r="AV31" s="56"/>
      <c r="AW31" s="57"/>
    </row>
    <row r="32" spans="1:49" x14ac:dyDescent="0.35">
      <c r="F32" s="56"/>
      <c r="G32" s="57"/>
      <c r="L32" s="56"/>
      <c r="M32" s="57"/>
      <c r="R32" s="56"/>
      <c r="S32" s="57"/>
      <c r="X32" s="56"/>
      <c r="Y32" s="57"/>
      <c r="AD32" s="56"/>
      <c r="AE32" s="57"/>
      <c r="AJ32" s="56"/>
      <c r="AK32" s="57"/>
      <c r="AP32" s="56"/>
      <c r="AQ32" s="57"/>
      <c r="AV32" s="56"/>
      <c r="AW32" s="57"/>
    </row>
    <row r="33" spans="6:49" x14ac:dyDescent="0.35">
      <c r="F33" s="56"/>
      <c r="G33" s="57"/>
      <c r="L33" s="56"/>
      <c r="M33" s="57"/>
      <c r="R33" s="56"/>
      <c r="S33" s="57"/>
      <c r="X33" s="56"/>
      <c r="Y33" s="57"/>
      <c r="AD33" s="56"/>
      <c r="AE33" s="57"/>
      <c r="AJ33" s="56"/>
      <c r="AK33" s="57"/>
      <c r="AP33" s="56"/>
      <c r="AQ33" s="57"/>
      <c r="AV33" s="56"/>
      <c r="AW33" s="57"/>
    </row>
    <row r="34" spans="6:49" x14ac:dyDescent="0.35">
      <c r="F34" s="56"/>
      <c r="G34" s="57"/>
      <c r="L34" s="56"/>
      <c r="M34" s="57"/>
      <c r="R34" s="56"/>
      <c r="S34" s="57"/>
      <c r="X34" s="56"/>
      <c r="Y34" s="57"/>
      <c r="AD34" s="56"/>
      <c r="AE34" s="57"/>
      <c r="AJ34" s="56"/>
      <c r="AK34" s="57"/>
      <c r="AP34" s="56"/>
      <c r="AQ34" s="57"/>
      <c r="AV34" s="56"/>
      <c r="AW34" s="57"/>
    </row>
    <row r="35" spans="6:49" x14ac:dyDescent="0.35">
      <c r="F35" s="56"/>
      <c r="G35" s="57"/>
      <c r="L35" s="56"/>
      <c r="M35" s="57"/>
      <c r="R35" s="56"/>
      <c r="S35" s="57"/>
      <c r="X35" s="56"/>
      <c r="Y35" s="57"/>
      <c r="AD35" s="56"/>
      <c r="AE35" s="57"/>
      <c r="AJ35" s="56"/>
      <c r="AK35" s="57"/>
      <c r="AP35" s="56"/>
      <c r="AQ35" s="57"/>
      <c r="AV35" s="56"/>
      <c r="AW35" s="57"/>
    </row>
    <row r="36" spans="6:49" x14ac:dyDescent="0.35">
      <c r="F36" s="56"/>
      <c r="G36" s="57"/>
      <c r="L36" s="56"/>
      <c r="M36" s="57"/>
      <c r="R36" s="56"/>
      <c r="S36" s="57"/>
      <c r="X36" s="56"/>
      <c r="Y36" s="57"/>
      <c r="AD36" s="56"/>
      <c r="AE36" s="57"/>
      <c r="AJ36" s="56"/>
      <c r="AK36" s="57"/>
      <c r="AP36" s="56"/>
      <c r="AQ36" s="57"/>
      <c r="AV36" s="56"/>
      <c r="AW36" s="57"/>
    </row>
    <row r="37" spans="6:49" x14ac:dyDescent="0.35">
      <c r="F37" s="56"/>
      <c r="G37" s="57"/>
      <c r="L37" s="56"/>
      <c r="M37" s="57"/>
      <c r="R37" s="56"/>
      <c r="S37" s="57"/>
      <c r="X37" s="56"/>
      <c r="Y37" s="57"/>
      <c r="AD37" s="56"/>
      <c r="AE37" s="57"/>
      <c r="AJ37" s="56"/>
      <c r="AK37" s="57"/>
      <c r="AP37" s="56"/>
      <c r="AQ37" s="57"/>
      <c r="AV37" s="56"/>
      <c r="AW37" s="57"/>
    </row>
    <row r="38" spans="6:49" x14ac:dyDescent="0.35">
      <c r="F38" s="56"/>
      <c r="G38" s="57"/>
      <c r="L38" s="56"/>
      <c r="M38" s="57"/>
      <c r="R38" s="56"/>
      <c r="S38" s="57"/>
      <c r="X38" s="56"/>
      <c r="Y38" s="57"/>
      <c r="AD38" s="56"/>
      <c r="AE38" s="57"/>
      <c r="AJ38" s="56"/>
      <c r="AK38" s="57"/>
      <c r="AP38" s="56"/>
      <c r="AQ38" s="57"/>
      <c r="AV38" s="56"/>
      <c r="AW38" s="57"/>
    </row>
    <row r="39" spans="6:49" x14ac:dyDescent="0.35">
      <c r="F39" s="56"/>
      <c r="G39" s="57"/>
      <c r="L39" s="56"/>
      <c r="M39" s="57"/>
      <c r="R39" s="56"/>
      <c r="S39" s="57"/>
      <c r="X39" s="56"/>
      <c r="Y39" s="57"/>
      <c r="AD39" s="56"/>
      <c r="AE39" s="57"/>
      <c r="AJ39" s="56"/>
      <c r="AK39" s="57"/>
      <c r="AP39" s="56"/>
      <c r="AQ39" s="57"/>
      <c r="AV39" s="56"/>
      <c r="AW39" s="57"/>
    </row>
    <row r="40" spans="6:49" x14ac:dyDescent="0.35">
      <c r="F40" s="56"/>
      <c r="G40" s="57"/>
      <c r="L40" s="56"/>
      <c r="M40" s="57"/>
      <c r="R40" s="56"/>
      <c r="S40" s="57"/>
      <c r="X40" s="56"/>
      <c r="Y40" s="57"/>
      <c r="AD40" s="56"/>
      <c r="AE40" s="57"/>
      <c r="AJ40" s="56"/>
      <c r="AK40" s="57"/>
      <c r="AP40" s="56"/>
      <c r="AQ40" s="57"/>
      <c r="AV40" s="56"/>
      <c r="AW40" s="57"/>
    </row>
    <row r="41" spans="6:49" x14ac:dyDescent="0.35">
      <c r="F41" s="56"/>
      <c r="G41" s="57"/>
      <c r="L41" s="56"/>
      <c r="M41" s="57"/>
      <c r="R41" s="56"/>
      <c r="S41" s="57"/>
      <c r="X41" s="56"/>
      <c r="Y41" s="57"/>
      <c r="AD41" s="56"/>
      <c r="AE41" s="57"/>
      <c r="AJ41" s="56"/>
      <c r="AK41" s="57"/>
      <c r="AP41" s="56"/>
      <c r="AQ41" s="57"/>
      <c r="AV41" s="56"/>
      <c r="AW41" s="57"/>
    </row>
    <row r="42" spans="6:49" x14ac:dyDescent="0.35">
      <c r="F42" s="56"/>
      <c r="G42" s="57"/>
      <c r="L42" s="56"/>
      <c r="M42" s="57"/>
      <c r="R42" s="56"/>
      <c r="S42" s="57"/>
      <c r="X42" s="56"/>
      <c r="Y42" s="57"/>
      <c r="AD42" s="56"/>
      <c r="AE42" s="57"/>
      <c r="AJ42" s="56"/>
      <c r="AK42" s="57"/>
      <c r="AP42" s="56"/>
      <c r="AQ42" s="57"/>
      <c r="AV42" s="56"/>
      <c r="AW42" s="57"/>
    </row>
    <row r="43" spans="6:49" x14ac:dyDescent="0.35">
      <c r="F43" s="56"/>
      <c r="G43" s="57"/>
      <c r="L43" s="56"/>
      <c r="M43" s="57"/>
      <c r="R43" s="56"/>
      <c r="S43" s="57"/>
      <c r="X43" s="56"/>
      <c r="Y43" s="57"/>
      <c r="AD43" s="56"/>
      <c r="AE43" s="57"/>
      <c r="AJ43" s="56"/>
      <c r="AK43" s="57"/>
      <c r="AP43" s="56"/>
      <c r="AQ43" s="57"/>
      <c r="AV43" s="56"/>
      <c r="AW43" s="57"/>
    </row>
    <row r="44" spans="6:49" x14ac:dyDescent="0.35">
      <c r="F44" s="56"/>
      <c r="G44" s="57"/>
      <c r="L44" s="56"/>
      <c r="M44" s="57"/>
      <c r="R44" s="56"/>
      <c r="S44" s="57"/>
      <c r="X44" s="56"/>
      <c r="Y44" s="57"/>
      <c r="AD44" s="56"/>
      <c r="AE44" s="57"/>
      <c r="AJ44" s="56"/>
      <c r="AK44" s="57"/>
      <c r="AP44" s="56"/>
      <c r="AQ44" s="57"/>
      <c r="AV44" s="56"/>
      <c r="AW44" s="57"/>
    </row>
    <row r="45" spans="6:49" x14ac:dyDescent="0.35">
      <c r="F45" s="56"/>
      <c r="G45" s="57"/>
      <c r="L45" s="56"/>
      <c r="M45" s="57"/>
      <c r="R45" s="56"/>
      <c r="S45" s="57"/>
      <c r="X45" s="56"/>
      <c r="Y45" s="57"/>
      <c r="AD45" s="56"/>
      <c r="AE45" s="57"/>
      <c r="AJ45" s="56"/>
      <c r="AK45" s="57"/>
      <c r="AP45" s="56"/>
      <c r="AQ45" s="57"/>
      <c r="AV45" s="56"/>
      <c r="AW45" s="57"/>
    </row>
    <row r="46" spans="6:49" x14ac:dyDescent="0.35">
      <c r="F46" s="56"/>
      <c r="G46" s="57"/>
      <c r="L46" s="56"/>
      <c r="M46" s="57"/>
      <c r="R46" s="56"/>
      <c r="S46" s="57"/>
      <c r="X46" s="56"/>
      <c r="Y46" s="57"/>
      <c r="AD46" s="56"/>
      <c r="AE46" s="57"/>
      <c r="AJ46" s="56"/>
      <c r="AK46" s="57"/>
      <c r="AP46" s="56"/>
      <c r="AQ46" s="57"/>
      <c r="AV46" s="56"/>
      <c r="AW46" s="57"/>
    </row>
    <row r="47" spans="6:49" x14ac:dyDescent="0.35">
      <c r="F47" s="56"/>
      <c r="G47" s="57"/>
      <c r="L47" s="56"/>
      <c r="M47" s="57"/>
      <c r="R47" s="56"/>
      <c r="S47" s="57"/>
      <c r="X47" s="56"/>
      <c r="Y47" s="57"/>
      <c r="AD47" s="56"/>
      <c r="AE47" s="57"/>
      <c r="AJ47" s="56"/>
      <c r="AK47" s="57"/>
      <c r="AP47" s="56"/>
      <c r="AQ47" s="57"/>
      <c r="AV47" s="56"/>
      <c r="AW47" s="57"/>
    </row>
    <row r="48" spans="6:49" x14ac:dyDescent="0.35">
      <c r="F48" s="56"/>
      <c r="G48" s="57"/>
      <c r="L48" s="56"/>
      <c r="M48" s="57"/>
      <c r="R48" s="56"/>
      <c r="S48" s="57"/>
      <c r="X48" s="56"/>
      <c r="Y48" s="57"/>
      <c r="AD48" s="56"/>
      <c r="AE48" s="57"/>
      <c r="AJ48" s="56"/>
      <c r="AK48" s="57"/>
      <c r="AP48" s="56"/>
      <c r="AQ48" s="57"/>
      <c r="AV48" s="56"/>
      <c r="AW48" s="57"/>
    </row>
    <row r="49" spans="6:52" x14ac:dyDescent="0.35">
      <c r="F49" s="56"/>
      <c r="G49" s="57"/>
      <c r="L49" s="56"/>
      <c r="M49" s="57"/>
      <c r="R49" s="56"/>
      <c r="S49" s="57"/>
      <c r="X49" s="56"/>
      <c r="Y49" s="57"/>
      <c r="AD49" s="56"/>
      <c r="AE49" s="57"/>
      <c r="AJ49" s="56"/>
      <c r="AK49" s="57"/>
      <c r="AP49" s="56"/>
      <c r="AQ49" s="57"/>
      <c r="AV49" s="56"/>
      <c r="AW49" s="57"/>
    </row>
    <row r="50" spans="6:52" x14ac:dyDescent="0.35">
      <c r="F50" s="56"/>
      <c r="G50" s="57"/>
      <c r="L50" s="56"/>
      <c r="M50" s="57"/>
      <c r="R50" s="56"/>
      <c r="S50" s="57"/>
      <c r="X50" s="56"/>
      <c r="Y50" s="57"/>
      <c r="AD50" s="56"/>
      <c r="AE50" s="57"/>
      <c r="AJ50" s="56"/>
      <c r="AK50" s="57"/>
      <c r="AP50" s="56"/>
      <c r="AQ50" s="57"/>
      <c r="AV50" s="56"/>
      <c r="AW50" s="57"/>
    </row>
    <row r="51" spans="6:52" x14ac:dyDescent="0.35">
      <c r="F51" s="56"/>
      <c r="G51" s="57"/>
      <c r="L51" s="56"/>
      <c r="M51" s="57"/>
      <c r="R51" s="56"/>
      <c r="S51" s="57"/>
      <c r="X51" s="56"/>
      <c r="Y51" s="57"/>
      <c r="AD51" s="56"/>
      <c r="AE51" s="57"/>
      <c r="AJ51" s="56"/>
      <c r="AK51" s="57"/>
      <c r="AP51" s="56"/>
      <c r="AQ51" s="57"/>
      <c r="AV51" s="56"/>
      <c r="AW51" s="57"/>
    </row>
    <row r="52" spans="6:52" x14ac:dyDescent="0.35">
      <c r="F52" s="56"/>
      <c r="G52" s="57"/>
      <c r="L52" s="56"/>
      <c r="M52" s="57"/>
      <c r="R52" s="56"/>
      <c r="S52" s="57"/>
      <c r="X52" s="56"/>
      <c r="Y52" s="57"/>
      <c r="AD52" s="56"/>
      <c r="AE52" s="57"/>
      <c r="AJ52" s="56"/>
      <c r="AK52" s="57"/>
      <c r="AP52" s="56"/>
      <c r="AQ52" s="57"/>
      <c r="AV52" s="56"/>
      <c r="AW52" s="57"/>
    </row>
    <row r="60" spans="6:52" hidden="1" x14ac:dyDescent="0.35">
      <c r="H60" s="30">
        <f>ROUND(SUM(H3:H5),2)</f>
        <v>26.71</v>
      </c>
      <c r="I60" s="30">
        <f>ROUND(SUM(I3:I5),2)</f>
        <v>15.55</v>
      </c>
      <c r="J60" s="30">
        <f>ROUND(SUM(J3:J5),2)</f>
        <v>275.82</v>
      </c>
      <c r="N60" s="30">
        <f>ROUND(SUM(N3:N4),2)</f>
        <v>27.62</v>
      </c>
      <c r="O60" s="30">
        <f>ROUND(SUM(O3:O4),2)</f>
        <v>15.64</v>
      </c>
      <c r="P60" s="30">
        <f>ROUND(SUM(P3:P4),2)</f>
        <v>294.89999999999998</v>
      </c>
      <c r="T60" s="30">
        <v>0</v>
      </c>
      <c r="U60" s="30">
        <v>0</v>
      </c>
      <c r="V60" s="30">
        <v>0</v>
      </c>
      <c r="Z60" s="30">
        <f>ROUND(SUM(Z3:Z5),2)</f>
        <v>26.64</v>
      </c>
      <c r="AA60" s="30">
        <f>ROUND(SUM(AA3:AA5),2)</f>
        <v>0.57999999999999996</v>
      </c>
      <c r="AB60" s="30">
        <f>ROUND(SUM(AB3:AB5),2)</f>
        <v>132.44</v>
      </c>
      <c r="AF60" s="30">
        <f>ROUND(SUM(AF3:AF6),2)</f>
        <v>71.849999999999994</v>
      </c>
      <c r="AG60" s="30">
        <f>ROUND(SUM(AG3:AG6),2)</f>
        <v>10.19</v>
      </c>
      <c r="AH60" s="30">
        <f>ROUND(SUM(AH3:AH6),2)</f>
        <v>511.32</v>
      </c>
      <c r="AL60" s="30">
        <f>ROUND(SUM(AL3:AL3),2)</f>
        <v>0.31</v>
      </c>
      <c r="AM60" s="30">
        <f>ROUND(SUM(AM3:AM3),2)</f>
        <v>0.09</v>
      </c>
      <c r="AN60" s="30">
        <f>ROUND(SUM(AN3:AN3),2)</f>
        <v>10.56</v>
      </c>
      <c r="AR60" s="30">
        <f>ROUND(SUM(AR3:AR4),2)</f>
        <v>0</v>
      </c>
      <c r="AS60" s="30">
        <f>ROUND(SUM(AS3:AS4),2)</f>
        <v>0</v>
      </c>
      <c r="AT60" s="30">
        <f>ROUND(SUM(AT3:AT4),2)</f>
        <v>0</v>
      </c>
      <c r="AX60" s="30">
        <f>ROUND(SUM(AX3:AX3),2)</f>
        <v>0.77</v>
      </c>
      <c r="AY60" s="30">
        <f>ROUND(SUM(AY3:AY3),2)</f>
        <v>0.13</v>
      </c>
      <c r="AZ60" s="30">
        <f>ROUND(SUM(AZ3:AZ3),2)</f>
        <v>17.7</v>
      </c>
    </row>
  </sheetData>
  <sheetProtection sheet="1" objects="1" scenarios="1"/>
  <dataConsolidate function="product">
    <dataRefs count="2">
      <dataRef ref="A2:A11" sheet="Foods"/>
      <dataRef ref="G2:G14" sheet="Foods"/>
    </dataRefs>
  </dataConsolidate>
  <mergeCells count="9">
    <mergeCell ref="AD1:AH1"/>
    <mergeCell ref="AJ1:AN1"/>
    <mergeCell ref="AP1:AT1"/>
    <mergeCell ref="AV1:AZ1"/>
    <mergeCell ref="B1:C1"/>
    <mergeCell ref="F1:J1"/>
    <mergeCell ref="L1:P1"/>
    <mergeCell ref="R1:V1"/>
    <mergeCell ref="X1:AB1"/>
  </mergeCells>
  <conditionalFormatting sqref="D5">
    <cfRule type="cellIs" dxfId="2" priority="1" stopIfTrue="1" operator="lessThanOrEqual">
      <formula>0</formula>
    </cfRule>
  </conditionalFormatting>
  <conditionalFormatting sqref="D6">
    <cfRule type="cellIs" dxfId="1" priority="2" stopIfTrue="1" operator="greaterThanOrEqual">
      <formula>0</formula>
    </cfRule>
  </conditionalFormatting>
  <conditionalFormatting sqref="D7">
    <cfRule type="cellIs" dxfId="0" priority="3" stopIfTrue="1" operator="greaterThanOr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End">
              <controlPr locked="0" defaultSize="0" print="0" autoFill="0" autoPict="0" macro="[0]!EndDay" altText="Button to complete the current day without waiting for 00:0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2</xdr:col>
                    <xdr:colOff>273050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bSign1">
              <controlPr defaultSize="0" autoFill="0" autoLine="0" autoPict="0" macro="[0]!SignCheckbox_Click" altText="">
                <anchor>
                  <from>
                    <xdr:col>9</xdr:col>
                    <xdr:colOff>25400</xdr:colOff>
                    <xdr:row>0</xdr:row>
                    <xdr:rowOff>12700</xdr:rowOff>
                  </from>
                  <to>
                    <xdr:col>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bSign2">
              <controlPr defaultSize="0" autoFill="0" autoLine="0" autoPict="0" macro="[0]!SignCheckbox_Click" altText="">
                <anchor>
                  <from>
                    <xdr:col>15</xdr:col>
                    <xdr:colOff>25400</xdr:colOff>
                    <xdr:row>0</xdr:row>
                    <xdr:rowOff>12700</xdr:rowOff>
                  </from>
                  <to>
                    <xdr:col>15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bSign3">
              <controlPr defaultSize="0" autoFill="0" autoLine="0" autoPict="0" macro="[0]!SignCheckbox_Click" altText="">
                <anchor>
                  <from>
                    <xdr:col>21</xdr:col>
                    <xdr:colOff>25400</xdr:colOff>
                    <xdr:row>0</xdr:row>
                    <xdr:rowOff>12700</xdr:rowOff>
                  </from>
                  <to>
                    <xdr:col>21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bSign4">
              <controlPr defaultSize="0" autoFill="0" autoLine="0" autoPict="0" macro="[0]!SignCheckbox_Click" altText="">
                <anchor>
                  <from>
                    <xdr:col>27</xdr:col>
                    <xdr:colOff>25400</xdr:colOff>
                    <xdr:row>0</xdr:row>
                    <xdr:rowOff>12700</xdr:rowOff>
                  </from>
                  <to>
                    <xdr:col>27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bSign5">
              <controlPr defaultSize="0" autoFill="0" autoLine="0" autoPict="0" macro="[0]!SignCheckbox_Click" altText="">
                <anchor>
                  <from>
                    <xdr:col>33</xdr:col>
                    <xdr:colOff>25400</xdr:colOff>
                    <xdr:row>0</xdr:row>
                    <xdr:rowOff>12700</xdr:rowOff>
                  </from>
                  <to>
                    <xdr:col>33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bSignF">
              <controlPr defaultSize="0" disabled="1" autoFill="0" autoLine="0" autoPict="0" altText="">
                <anchor>
                  <from>
                    <xdr:col>39</xdr:col>
                    <xdr:colOff>25400</xdr:colOff>
                    <xdr:row>0</xdr:row>
                    <xdr:rowOff>12700</xdr:rowOff>
                  </from>
                  <to>
                    <xdr:col>39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bSignN">
              <controlPr defaultSize="0" disabled="1" autoFill="0" autoLine="0" autoPict="0" altText="">
                <anchor>
                  <from>
                    <xdr:col>45</xdr:col>
                    <xdr:colOff>25400</xdr:colOff>
                    <xdr:row>0</xdr:row>
                    <xdr:rowOff>12700</xdr:rowOff>
                  </from>
                  <to>
                    <xdr:col>45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bSignV">
              <controlPr defaultSize="0" disabled="1" autoFill="0" autoLine="0" autoPict="0" altText="">
                <anchor>
                  <from>
                    <xdr:col>51</xdr:col>
                    <xdr:colOff>25400</xdr:colOff>
                    <xdr:row>0</xdr:row>
                    <xdr:rowOff>12700</xdr:rowOff>
                  </from>
                  <to>
                    <xdr:col>51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Revert">
              <controlPr defaultSize="0" print="0" autoFill="0" autoPict="0" macro="[0]!RevertDay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711200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tnPrevDay">
              <controlPr defaultSize="0" print="0" autoFill="0" autoPict="0" macro="[0]!PrevDa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tnNextDay">
              <controlPr defaultSize="0" print="0" autoFill="0" autoPict="0" macro="[0]!NextDay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8"/>
  <sheetViews>
    <sheetView topLeftCell="A28" workbookViewId="0">
      <selection activeCell="N48" sqref="N48"/>
    </sheetView>
  </sheetViews>
  <sheetFormatPr defaultRowHeight="14.5" x14ac:dyDescent="0.35"/>
  <cols>
    <col min="1" max="1" width="17.7265625" style="7" customWidth="1"/>
    <col min="2" max="4" width="8.7265625" style="6" customWidth="1"/>
    <col min="5" max="5" width="9.1796875" style="5"/>
    <col min="6" max="6" width="11.81640625" style="5" bestFit="1" customWidth="1"/>
    <col min="7" max="7" width="17.7265625" style="20" customWidth="1"/>
    <col min="8" max="10" width="8.7265625" style="20" customWidth="1"/>
    <col min="11" max="12" width="9.1796875" style="5"/>
    <col min="13" max="13" width="17.7265625" style="16" customWidth="1"/>
    <col min="14" max="16" width="8.7265625" style="20" customWidth="1"/>
    <col min="17" max="17" width="9.81640625" style="5" bestFit="1" customWidth="1"/>
    <col min="18" max="18" width="9.1796875" style="5"/>
    <col min="19" max="19" width="17.7265625" style="20" customWidth="1"/>
    <col min="20" max="22" width="8.7265625" style="20" customWidth="1"/>
    <col min="23" max="16384" width="8.7265625" style="20"/>
  </cols>
  <sheetData>
    <row r="1" spans="1:22" x14ac:dyDescent="0.35">
      <c r="A1" s="64" t="s">
        <v>0</v>
      </c>
      <c r="B1" s="64"/>
      <c r="C1" s="64"/>
      <c r="D1" s="64"/>
      <c r="G1" s="64" t="s">
        <v>1</v>
      </c>
      <c r="H1" s="64"/>
      <c r="I1" s="64"/>
      <c r="J1" s="64"/>
      <c r="M1" s="64" t="s">
        <v>48</v>
      </c>
      <c r="N1" s="64"/>
      <c r="O1" s="64"/>
      <c r="P1" s="64"/>
      <c r="S1" s="64"/>
      <c r="T1" s="64"/>
      <c r="U1" s="64"/>
      <c r="V1" s="64"/>
    </row>
    <row r="2" spans="1:22" x14ac:dyDescent="0.35">
      <c r="A2" s="16" t="s">
        <v>16</v>
      </c>
      <c r="B2" s="18">
        <v>67.5</v>
      </c>
      <c r="C2" s="18">
        <v>1.25</v>
      </c>
      <c r="D2" s="18">
        <v>312.5</v>
      </c>
      <c r="G2" s="16" t="s">
        <v>25</v>
      </c>
      <c r="H2" s="18">
        <v>2</v>
      </c>
      <c r="I2" s="18">
        <v>15</v>
      </c>
      <c r="J2" s="18">
        <v>160</v>
      </c>
      <c r="M2" s="16" t="s">
        <v>22</v>
      </c>
      <c r="N2" s="18">
        <v>4.4000000000000004</v>
      </c>
      <c r="O2" s="18">
        <v>1.92</v>
      </c>
      <c r="P2" s="18">
        <v>120</v>
      </c>
      <c r="S2" s="16"/>
      <c r="T2" s="18"/>
      <c r="U2" s="18"/>
      <c r="V2" s="18"/>
    </row>
    <row r="3" spans="1:22" x14ac:dyDescent="0.35">
      <c r="A3" s="16" t="s">
        <v>77</v>
      </c>
      <c r="B3" s="18">
        <v>10.9</v>
      </c>
      <c r="C3" s="18">
        <v>0.17</v>
      </c>
      <c r="D3" s="18">
        <v>52</v>
      </c>
      <c r="G3" s="16" t="s">
        <v>39</v>
      </c>
      <c r="H3" s="18">
        <v>24</v>
      </c>
      <c r="I3" s="18">
        <v>60</v>
      </c>
      <c r="J3" s="18">
        <v>712</v>
      </c>
      <c r="M3" s="16" t="s">
        <v>168</v>
      </c>
      <c r="N3" s="18">
        <v>8.86</v>
      </c>
      <c r="O3" s="18">
        <v>2.59</v>
      </c>
      <c r="P3" s="18">
        <v>164</v>
      </c>
    </row>
    <row r="4" spans="1:22" x14ac:dyDescent="0.35">
      <c r="A4" s="16" t="s">
        <v>30</v>
      </c>
      <c r="B4" s="18">
        <v>15.86</v>
      </c>
      <c r="C4" s="18">
        <v>26.54</v>
      </c>
      <c r="D4" s="18">
        <v>322</v>
      </c>
      <c r="G4" s="16" t="s">
        <v>27</v>
      </c>
      <c r="H4" s="18">
        <v>0</v>
      </c>
      <c r="I4" s="18">
        <v>100</v>
      </c>
      <c r="J4" s="18">
        <v>884</v>
      </c>
      <c r="M4" s="16" t="s">
        <v>26</v>
      </c>
      <c r="N4" s="18">
        <v>21.2</v>
      </c>
      <c r="O4" s="18">
        <v>31.4</v>
      </c>
      <c r="P4" s="18">
        <v>524</v>
      </c>
    </row>
    <row r="5" spans="1:22" x14ac:dyDescent="0.35">
      <c r="A5" s="16" t="s">
        <v>29</v>
      </c>
      <c r="B5" s="18">
        <v>22.1</v>
      </c>
      <c r="C5" s="18">
        <v>12.35</v>
      </c>
      <c r="D5" s="18">
        <v>206</v>
      </c>
      <c r="G5" s="16" t="s">
        <v>159</v>
      </c>
      <c r="H5" s="18">
        <v>29.5</v>
      </c>
      <c r="I5" s="18">
        <v>46</v>
      </c>
      <c r="J5" s="18">
        <v>579</v>
      </c>
      <c r="M5" s="16" t="s">
        <v>40</v>
      </c>
      <c r="N5" s="18">
        <v>9.02</v>
      </c>
      <c r="O5" s="18">
        <v>0.38</v>
      </c>
      <c r="P5" s="18">
        <v>116</v>
      </c>
    </row>
    <row r="6" spans="1:22" x14ac:dyDescent="0.35">
      <c r="A6" s="16" t="s">
        <v>46</v>
      </c>
      <c r="B6" s="6">
        <v>23.9</v>
      </c>
      <c r="C6" s="6">
        <v>17.8</v>
      </c>
      <c r="D6" s="6">
        <v>261</v>
      </c>
      <c r="G6" s="16" t="s">
        <v>177</v>
      </c>
      <c r="H6" s="18">
        <v>21.2</v>
      </c>
      <c r="I6" s="18">
        <v>49.9</v>
      </c>
      <c r="J6" s="18">
        <v>597</v>
      </c>
      <c r="M6" s="16" t="s">
        <v>49</v>
      </c>
      <c r="N6" s="18">
        <v>2</v>
      </c>
      <c r="O6" s="18">
        <v>1</v>
      </c>
      <c r="P6" s="18">
        <v>57</v>
      </c>
    </row>
    <row r="7" spans="1:22" x14ac:dyDescent="0.35">
      <c r="A7" s="16" t="s">
        <v>20</v>
      </c>
      <c r="B7" s="18">
        <v>31.02</v>
      </c>
      <c r="C7" s="18">
        <v>3.57</v>
      </c>
      <c r="D7" s="18">
        <v>165</v>
      </c>
      <c r="G7" s="16" t="s">
        <v>33</v>
      </c>
      <c r="H7" s="18">
        <v>20</v>
      </c>
      <c r="I7" s="18">
        <v>45</v>
      </c>
      <c r="J7" s="18">
        <v>562</v>
      </c>
      <c r="K7" s="5" t="s">
        <v>52</v>
      </c>
      <c r="L7" s="5" t="s">
        <v>53</v>
      </c>
      <c r="M7" s="16" t="s">
        <v>169</v>
      </c>
      <c r="N7" s="18">
        <v>2</v>
      </c>
      <c r="O7" s="18">
        <v>0.4</v>
      </c>
      <c r="P7" s="18">
        <v>62</v>
      </c>
    </row>
    <row r="8" spans="1:22" x14ac:dyDescent="0.35">
      <c r="A8" s="16" t="s">
        <v>24</v>
      </c>
      <c r="B8" s="18">
        <v>29.33</v>
      </c>
      <c r="C8" s="18">
        <v>9.67</v>
      </c>
      <c r="D8" s="18">
        <v>212</v>
      </c>
      <c r="G8" s="16" t="s">
        <v>35</v>
      </c>
      <c r="H8" s="18">
        <v>14</v>
      </c>
      <c r="I8" s="18">
        <v>66</v>
      </c>
      <c r="J8" s="18">
        <v>656</v>
      </c>
      <c r="K8" s="5" t="s">
        <v>52</v>
      </c>
      <c r="L8" s="5" t="s">
        <v>53</v>
      </c>
      <c r="M8" s="16" t="s">
        <v>21</v>
      </c>
      <c r="N8" s="18">
        <v>2.0099999999999998</v>
      </c>
      <c r="O8" s="18">
        <v>0.15</v>
      </c>
      <c r="P8" s="18">
        <v>90</v>
      </c>
    </row>
    <row r="9" spans="1:22" x14ac:dyDescent="0.35">
      <c r="A9" s="16" t="s">
        <v>44</v>
      </c>
      <c r="B9" s="18">
        <v>22.78</v>
      </c>
      <c r="C9" s="18">
        <v>1.7</v>
      </c>
      <c r="D9" s="18">
        <v>119</v>
      </c>
      <c r="G9" s="16" t="s">
        <v>34</v>
      </c>
      <c r="H9" s="18">
        <v>26</v>
      </c>
      <c r="I9" s="18">
        <v>49</v>
      </c>
      <c r="J9" s="18">
        <v>567</v>
      </c>
      <c r="K9" s="5" t="s">
        <v>52</v>
      </c>
      <c r="L9" s="5" t="s">
        <v>53</v>
      </c>
      <c r="M9" s="16" t="s">
        <v>42</v>
      </c>
      <c r="N9" s="18">
        <v>9.1</v>
      </c>
      <c r="O9" s="18">
        <v>0.5</v>
      </c>
      <c r="P9" s="18">
        <v>116.16</v>
      </c>
    </row>
    <row r="10" spans="1:22" x14ac:dyDescent="0.35">
      <c r="A10" s="16" t="s">
        <v>45</v>
      </c>
      <c r="B10" s="18">
        <v>10.199999999999999</v>
      </c>
      <c r="C10" s="18">
        <v>5</v>
      </c>
      <c r="D10" s="18">
        <v>97</v>
      </c>
      <c r="G10" s="16" t="s">
        <v>18</v>
      </c>
      <c r="H10" s="18">
        <v>21</v>
      </c>
      <c r="I10" s="18">
        <v>49</v>
      </c>
      <c r="J10" s="18">
        <v>576</v>
      </c>
      <c r="K10" s="5" t="s">
        <v>52</v>
      </c>
      <c r="L10" s="5" t="s">
        <v>53</v>
      </c>
      <c r="M10" s="16" t="s">
        <v>146</v>
      </c>
      <c r="N10" s="18">
        <v>3.3</v>
      </c>
      <c r="O10" s="18">
        <v>1.4</v>
      </c>
      <c r="P10" s="18">
        <v>98</v>
      </c>
    </row>
    <row r="11" spans="1:22" x14ac:dyDescent="0.35">
      <c r="A11" s="7" t="s">
        <v>71</v>
      </c>
      <c r="B11" s="6">
        <v>7.9</v>
      </c>
      <c r="C11" s="6">
        <v>9</v>
      </c>
      <c r="D11" s="6">
        <v>96</v>
      </c>
      <c r="G11" s="16" t="s">
        <v>37</v>
      </c>
      <c r="H11" s="18">
        <v>15</v>
      </c>
      <c r="I11" s="18">
        <v>61</v>
      </c>
      <c r="J11" s="18">
        <v>628</v>
      </c>
      <c r="K11" s="5" t="s">
        <v>52</v>
      </c>
      <c r="L11" s="5" t="s">
        <v>53</v>
      </c>
      <c r="M11" s="16" t="s">
        <v>78</v>
      </c>
      <c r="N11" s="6">
        <v>12.5</v>
      </c>
      <c r="O11" s="6">
        <v>2.8</v>
      </c>
      <c r="P11" s="6">
        <v>228</v>
      </c>
    </row>
    <row r="12" spans="1:22" x14ac:dyDescent="0.35">
      <c r="A12" s="7" t="s">
        <v>75</v>
      </c>
      <c r="B12" s="6">
        <v>19</v>
      </c>
      <c r="C12" s="6">
        <v>1.5</v>
      </c>
      <c r="D12" s="6">
        <v>97</v>
      </c>
      <c r="G12" s="16" t="s">
        <v>28</v>
      </c>
      <c r="H12" s="18">
        <v>15</v>
      </c>
      <c r="I12" s="18">
        <v>65</v>
      </c>
      <c r="J12" s="18">
        <v>654</v>
      </c>
      <c r="K12" s="5" t="s">
        <v>52</v>
      </c>
      <c r="L12" s="5" t="s">
        <v>53</v>
      </c>
      <c r="M12" s="16" t="s">
        <v>43</v>
      </c>
      <c r="N12" s="18">
        <v>9.73</v>
      </c>
      <c r="O12" s="18">
        <v>0.35</v>
      </c>
      <c r="P12" s="18">
        <v>139</v>
      </c>
    </row>
    <row r="13" spans="1:22" x14ac:dyDescent="0.35">
      <c r="A13" s="7" t="s">
        <v>79</v>
      </c>
      <c r="B13" s="6">
        <v>22.73</v>
      </c>
      <c r="C13" s="6">
        <v>2.99</v>
      </c>
      <c r="D13" s="6">
        <v>124</v>
      </c>
      <c r="G13" s="16" t="s">
        <v>81</v>
      </c>
      <c r="H13" s="18">
        <v>26</v>
      </c>
      <c r="I13" s="18">
        <v>45</v>
      </c>
      <c r="J13" s="18">
        <v>567</v>
      </c>
      <c r="K13" s="5" t="s">
        <v>52</v>
      </c>
      <c r="L13" s="5" t="s">
        <v>53</v>
      </c>
      <c r="M13" s="16" t="s">
        <v>38</v>
      </c>
      <c r="N13" s="18">
        <v>8.6999999999999993</v>
      </c>
      <c r="O13" s="18">
        <v>0.5</v>
      </c>
      <c r="P13" s="18">
        <v>127</v>
      </c>
    </row>
    <row r="14" spans="1:22" x14ac:dyDescent="0.35">
      <c r="A14" s="7" t="s">
        <v>82</v>
      </c>
      <c r="B14" s="6">
        <v>26.2</v>
      </c>
      <c r="C14" s="6">
        <v>2.7</v>
      </c>
      <c r="D14" s="6">
        <v>128</v>
      </c>
      <c r="G14" s="16" t="s">
        <v>31</v>
      </c>
      <c r="H14" s="18">
        <v>8</v>
      </c>
      <c r="I14" s="18">
        <v>76</v>
      </c>
      <c r="J14" s="18">
        <v>718</v>
      </c>
      <c r="K14" s="5" t="s">
        <v>52</v>
      </c>
      <c r="L14" s="5" t="s">
        <v>53</v>
      </c>
      <c r="M14" s="16" t="s">
        <v>23</v>
      </c>
      <c r="N14" s="18">
        <v>3.38</v>
      </c>
      <c r="O14" s="18">
        <v>0.62</v>
      </c>
      <c r="P14" s="18">
        <v>92</v>
      </c>
    </row>
    <row r="15" spans="1:22" x14ac:dyDescent="0.35">
      <c r="A15" s="7" t="s">
        <v>83</v>
      </c>
      <c r="B15" s="6">
        <v>18.8</v>
      </c>
      <c r="C15" s="6">
        <v>21.7</v>
      </c>
      <c r="D15" s="6">
        <v>277</v>
      </c>
      <c r="G15" s="16" t="s">
        <v>36</v>
      </c>
      <c r="H15" s="18">
        <v>14</v>
      </c>
      <c r="I15" s="18">
        <v>68</v>
      </c>
      <c r="J15" s="18">
        <v>673</v>
      </c>
      <c r="K15" s="5" t="s">
        <v>52</v>
      </c>
      <c r="L15" s="5" t="s">
        <v>53</v>
      </c>
      <c r="M15" s="16" t="s">
        <v>74</v>
      </c>
      <c r="N15" s="5">
        <v>2.5</v>
      </c>
      <c r="O15" s="5">
        <v>0.1</v>
      </c>
      <c r="P15" s="18">
        <v>93</v>
      </c>
    </row>
    <row r="16" spans="1:22" x14ac:dyDescent="0.35">
      <c r="A16" s="7" t="s">
        <v>84</v>
      </c>
      <c r="B16" s="6">
        <v>10</v>
      </c>
      <c r="C16" s="6">
        <v>0</v>
      </c>
      <c r="D16" s="6">
        <v>55</v>
      </c>
      <c r="G16" s="16" t="s">
        <v>32</v>
      </c>
      <c r="H16" s="18">
        <v>18</v>
      </c>
      <c r="I16" s="18">
        <v>44</v>
      </c>
      <c r="J16" s="18">
        <v>553</v>
      </c>
      <c r="K16" s="5" t="s">
        <v>52</v>
      </c>
      <c r="L16" s="5" t="s">
        <v>53</v>
      </c>
      <c r="M16" s="16" t="s">
        <v>17</v>
      </c>
      <c r="N16" s="18">
        <v>7.6</v>
      </c>
      <c r="O16" s="18">
        <v>1.6</v>
      </c>
      <c r="P16" s="18">
        <v>372</v>
      </c>
    </row>
    <row r="17" spans="1:18" x14ac:dyDescent="0.35">
      <c r="A17" s="7" t="s">
        <v>134</v>
      </c>
      <c r="B17" s="6">
        <v>24.8</v>
      </c>
      <c r="C17" s="6">
        <v>0.6</v>
      </c>
      <c r="D17" s="6">
        <v>104</v>
      </c>
      <c r="G17" s="16" t="s">
        <v>19</v>
      </c>
      <c r="H17" s="18">
        <v>9</v>
      </c>
      <c r="I17" s="18">
        <v>72</v>
      </c>
      <c r="J17" s="18">
        <v>690</v>
      </c>
      <c r="K17" s="5" t="s">
        <v>52</v>
      </c>
      <c r="L17" s="5" t="s">
        <v>53</v>
      </c>
      <c r="M17" s="16" t="s">
        <v>47</v>
      </c>
      <c r="N17" s="18">
        <v>5.36</v>
      </c>
      <c r="O17" s="18">
        <v>0.22</v>
      </c>
      <c r="P17" s="18">
        <v>84</v>
      </c>
    </row>
    <row r="18" spans="1:18" x14ac:dyDescent="0.35">
      <c r="A18" s="7" t="s">
        <v>139</v>
      </c>
      <c r="B18" s="6">
        <v>27.5</v>
      </c>
      <c r="C18" s="6">
        <v>5</v>
      </c>
      <c r="D18" s="6">
        <v>162</v>
      </c>
      <c r="M18" s="16" t="s">
        <v>41</v>
      </c>
      <c r="N18" s="18">
        <v>11.87</v>
      </c>
      <c r="O18" s="18">
        <v>0.62</v>
      </c>
      <c r="P18" s="18">
        <v>124.37</v>
      </c>
    </row>
    <row r="19" spans="1:18" x14ac:dyDescent="0.35">
      <c r="A19" s="7" t="s">
        <v>140</v>
      </c>
      <c r="B19" s="6">
        <v>26.58</v>
      </c>
      <c r="C19" s="6">
        <v>16.760000000000002</v>
      </c>
      <c r="D19" s="6">
        <v>265</v>
      </c>
      <c r="M19" s="16" t="s">
        <v>175</v>
      </c>
      <c r="N19" s="18">
        <v>5.7</v>
      </c>
      <c r="O19" s="18">
        <v>0.95</v>
      </c>
      <c r="P19" s="18">
        <v>163</v>
      </c>
    </row>
    <row r="20" spans="1:18" x14ac:dyDescent="0.35">
      <c r="A20" s="7" t="s">
        <v>142</v>
      </c>
      <c r="B20" s="6">
        <v>23.63</v>
      </c>
      <c r="C20" s="6">
        <v>2.56</v>
      </c>
      <c r="D20" s="6">
        <v>124</v>
      </c>
      <c r="M20" s="16" t="s">
        <v>186</v>
      </c>
      <c r="N20" s="18">
        <v>2</v>
      </c>
      <c r="O20" s="18">
        <v>0</v>
      </c>
      <c r="P20" s="18">
        <v>43</v>
      </c>
    </row>
    <row r="21" spans="1:18" x14ac:dyDescent="0.35">
      <c r="A21" s="7" t="s">
        <v>147</v>
      </c>
      <c r="B21" s="6">
        <v>26.5</v>
      </c>
      <c r="C21" s="6">
        <v>3.5</v>
      </c>
      <c r="D21" s="6">
        <v>143</v>
      </c>
      <c r="M21" s="16" t="s">
        <v>80</v>
      </c>
      <c r="N21" s="18">
        <v>0.9</v>
      </c>
      <c r="O21" s="18">
        <v>0.2</v>
      </c>
      <c r="P21" s="18">
        <v>47</v>
      </c>
      <c r="Q21" s="5" t="s">
        <v>59</v>
      </c>
      <c r="R21" s="5" t="s">
        <v>69</v>
      </c>
    </row>
    <row r="22" spans="1:18" x14ac:dyDescent="0.35">
      <c r="A22" s="7" t="s">
        <v>150</v>
      </c>
      <c r="B22" s="6">
        <v>24.8</v>
      </c>
      <c r="C22" s="6">
        <v>4.9000000000000004</v>
      </c>
      <c r="D22" s="6">
        <v>150</v>
      </c>
      <c r="M22" s="16" t="s">
        <v>65</v>
      </c>
      <c r="N22" s="18">
        <v>0.9</v>
      </c>
      <c r="O22" s="18">
        <v>0.1</v>
      </c>
      <c r="P22" s="18">
        <v>47</v>
      </c>
      <c r="Q22" s="5" t="s">
        <v>59</v>
      </c>
      <c r="R22" s="5" t="s">
        <v>69</v>
      </c>
    </row>
    <row r="23" spans="1:18" x14ac:dyDescent="0.35">
      <c r="A23" s="7" t="s">
        <v>151</v>
      </c>
      <c r="B23" s="6">
        <v>15</v>
      </c>
      <c r="C23" s="6">
        <v>8</v>
      </c>
      <c r="D23" s="6">
        <v>139</v>
      </c>
      <c r="M23" s="16" t="s">
        <v>73</v>
      </c>
      <c r="N23" s="18">
        <v>0.43</v>
      </c>
      <c r="O23" s="18">
        <v>0.2</v>
      </c>
      <c r="P23" s="18">
        <v>47</v>
      </c>
      <c r="Q23" s="5" t="s">
        <v>59</v>
      </c>
      <c r="R23" s="5" t="s">
        <v>69</v>
      </c>
    </row>
    <row r="24" spans="1:18" x14ac:dyDescent="0.35">
      <c r="A24" s="7" t="s">
        <v>153</v>
      </c>
      <c r="B24" s="6">
        <v>19</v>
      </c>
      <c r="C24" s="6">
        <v>5.6</v>
      </c>
      <c r="D24" s="6">
        <v>184</v>
      </c>
      <c r="M24" s="16" t="s">
        <v>70</v>
      </c>
      <c r="N24" s="18">
        <v>0.7</v>
      </c>
      <c r="O24" s="18">
        <v>0.3</v>
      </c>
      <c r="P24" s="18">
        <v>32</v>
      </c>
      <c r="Q24" s="5" t="s">
        <v>59</v>
      </c>
      <c r="R24" s="5" t="s">
        <v>69</v>
      </c>
    </row>
    <row r="25" spans="1:18" x14ac:dyDescent="0.35">
      <c r="A25" s="7" t="s">
        <v>154</v>
      </c>
      <c r="B25" s="6">
        <v>25.9</v>
      </c>
      <c r="C25" s="6">
        <v>8</v>
      </c>
      <c r="D25" s="6">
        <v>182</v>
      </c>
      <c r="M25" s="16" t="s">
        <v>165</v>
      </c>
      <c r="N25" s="18">
        <v>2.5</v>
      </c>
      <c r="O25" s="18">
        <v>0.4</v>
      </c>
      <c r="P25" s="18">
        <v>282</v>
      </c>
      <c r="Q25" s="5" t="s">
        <v>59</v>
      </c>
      <c r="R25" s="5" t="s">
        <v>53</v>
      </c>
    </row>
    <row r="26" spans="1:18" x14ac:dyDescent="0.35">
      <c r="A26" s="7" t="s">
        <v>157</v>
      </c>
      <c r="B26" s="6">
        <v>23.8</v>
      </c>
      <c r="C26" s="6">
        <v>3.44</v>
      </c>
      <c r="D26" s="6">
        <v>133</v>
      </c>
      <c r="M26" s="16" t="s">
        <v>164</v>
      </c>
      <c r="N26" s="18">
        <v>1</v>
      </c>
      <c r="O26" s="18">
        <v>0.1</v>
      </c>
      <c r="P26" s="18">
        <v>140</v>
      </c>
      <c r="Q26" s="5" t="s">
        <v>59</v>
      </c>
      <c r="R26" s="5" t="s">
        <v>69</v>
      </c>
    </row>
    <row r="27" spans="1:18" x14ac:dyDescent="0.35">
      <c r="A27" s="7" t="s">
        <v>166</v>
      </c>
      <c r="B27" s="6">
        <v>24.46</v>
      </c>
      <c r="C27" s="6">
        <v>6.51</v>
      </c>
      <c r="D27" s="6">
        <v>167</v>
      </c>
      <c r="M27" s="16" t="s">
        <v>144</v>
      </c>
      <c r="N27" s="18">
        <v>1</v>
      </c>
      <c r="O27" s="18">
        <v>0.44</v>
      </c>
      <c r="P27" s="18">
        <v>64</v>
      </c>
      <c r="Q27" s="5" t="s">
        <v>59</v>
      </c>
      <c r="R27" s="5" t="s">
        <v>69</v>
      </c>
    </row>
    <row r="28" spans="1:18" x14ac:dyDescent="0.35">
      <c r="A28" s="7" t="s">
        <v>167</v>
      </c>
      <c r="B28" s="6">
        <v>26.41</v>
      </c>
      <c r="C28" s="6">
        <v>7.92</v>
      </c>
      <c r="D28" s="6">
        <v>185</v>
      </c>
      <c r="M28" s="16" t="s">
        <v>145</v>
      </c>
      <c r="N28" s="18">
        <v>1</v>
      </c>
      <c r="O28" s="18">
        <v>1</v>
      </c>
      <c r="P28" s="18">
        <v>61</v>
      </c>
      <c r="Q28" s="5" t="s">
        <v>59</v>
      </c>
      <c r="R28" s="5" t="s">
        <v>69</v>
      </c>
    </row>
    <row r="29" spans="1:18" x14ac:dyDescent="0.35">
      <c r="A29" s="7" t="s">
        <v>171</v>
      </c>
      <c r="B29" s="6">
        <v>26</v>
      </c>
      <c r="C29" s="6">
        <v>9</v>
      </c>
      <c r="D29" s="6">
        <v>186</v>
      </c>
      <c r="M29" s="16" t="s">
        <v>64</v>
      </c>
      <c r="N29" s="18">
        <v>1.7</v>
      </c>
      <c r="O29" s="18">
        <v>1.2</v>
      </c>
      <c r="P29" s="18">
        <v>83</v>
      </c>
      <c r="Q29" s="5" t="s">
        <v>59</v>
      </c>
      <c r="R29" s="5" t="s">
        <v>69</v>
      </c>
    </row>
    <row r="30" spans="1:18" x14ac:dyDescent="0.35">
      <c r="A30" s="7" t="s">
        <v>172</v>
      </c>
      <c r="B30" s="6">
        <v>24</v>
      </c>
      <c r="C30" s="6">
        <v>5.24</v>
      </c>
      <c r="D30" s="6">
        <v>146</v>
      </c>
      <c r="M30" s="16" t="s">
        <v>72</v>
      </c>
      <c r="N30" s="18">
        <v>0.6</v>
      </c>
      <c r="O30" s="18">
        <v>0.2</v>
      </c>
      <c r="P30" s="18">
        <v>30</v>
      </c>
      <c r="Q30" s="5" t="s">
        <v>59</v>
      </c>
      <c r="R30" s="5" t="s">
        <v>69</v>
      </c>
    </row>
    <row r="31" spans="1:18" x14ac:dyDescent="0.35">
      <c r="A31" s="7" t="s">
        <v>174</v>
      </c>
      <c r="B31" s="6">
        <v>24</v>
      </c>
      <c r="C31" s="6">
        <v>3</v>
      </c>
      <c r="D31" s="6">
        <v>132</v>
      </c>
      <c r="M31" s="16" t="s">
        <v>63</v>
      </c>
      <c r="N31" s="18">
        <v>0.57999999999999996</v>
      </c>
      <c r="O31" s="18">
        <v>0.19</v>
      </c>
      <c r="P31" s="18">
        <v>70</v>
      </c>
      <c r="Q31" s="5" t="s">
        <v>59</v>
      </c>
      <c r="R31" s="5" t="s">
        <v>69</v>
      </c>
    </row>
    <row r="32" spans="1:18" x14ac:dyDescent="0.35">
      <c r="A32" s="7" t="s">
        <v>178</v>
      </c>
      <c r="B32" s="6">
        <v>21</v>
      </c>
      <c r="C32" s="6">
        <v>5</v>
      </c>
      <c r="D32" s="6">
        <v>152</v>
      </c>
      <c r="M32" s="16" t="s">
        <v>152</v>
      </c>
      <c r="N32" s="18">
        <v>0.75</v>
      </c>
      <c r="O32" s="18">
        <v>0.3</v>
      </c>
      <c r="P32" s="18">
        <v>74</v>
      </c>
      <c r="Q32" s="5" t="s">
        <v>59</v>
      </c>
      <c r="R32" s="5" t="s">
        <v>69</v>
      </c>
    </row>
    <row r="33" spans="1:18" x14ac:dyDescent="0.35">
      <c r="A33" s="7" t="s">
        <v>184</v>
      </c>
      <c r="B33" s="6">
        <v>25.93</v>
      </c>
      <c r="C33" s="6">
        <v>18.95</v>
      </c>
      <c r="D33" s="6">
        <v>282</v>
      </c>
      <c r="M33" s="16" t="s">
        <v>149</v>
      </c>
      <c r="N33" s="18">
        <v>1.3</v>
      </c>
      <c r="O33" s="18">
        <v>0.4</v>
      </c>
      <c r="P33" s="18">
        <v>94</v>
      </c>
      <c r="Q33" s="5" t="s">
        <v>59</v>
      </c>
      <c r="R33" s="5" t="s">
        <v>69</v>
      </c>
    </row>
    <row r="34" spans="1:18" x14ac:dyDescent="0.35">
      <c r="A34" s="7" t="s">
        <v>185</v>
      </c>
      <c r="B34" s="6">
        <v>27</v>
      </c>
      <c r="C34" s="6">
        <v>10</v>
      </c>
      <c r="D34" s="6">
        <v>210</v>
      </c>
      <c r="M34" s="16" t="s">
        <v>138</v>
      </c>
      <c r="N34" s="18">
        <v>0.5</v>
      </c>
      <c r="O34" s="18">
        <v>0.1</v>
      </c>
      <c r="P34" s="18">
        <v>50</v>
      </c>
      <c r="Q34" s="5" t="s">
        <v>59</v>
      </c>
      <c r="R34" s="5" t="s">
        <v>69</v>
      </c>
    </row>
    <row r="35" spans="1:18" x14ac:dyDescent="0.35">
      <c r="A35" s="7" t="s">
        <v>187</v>
      </c>
      <c r="B35" s="6">
        <v>27.18</v>
      </c>
      <c r="C35" s="6">
        <v>7.18</v>
      </c>
      <c r="D35" s="6">
        <v>181</v>
      </c>
      <c r="M35" s="16" t="s">
        <v>135</v>
      </c>
      <c r="N35" s="18">
        <v>0.74</v>
      </c>
      <c r="O35" s="18">
        <v>0.33</v>
      </c>
      <c r="P35" s="18">
        <v>52</v>
      </c>
      <c r="Q35" s="5" t="s">
        <v>59</v>
      </c>
      <c r="R35" s="5" t="s">
        <v>69</v>
      </c>
    </row>
    <row r="36" spans="1:18" x14ac:dyDescent="0.35">
      <c r="A36" s="7" t="s">
        <v>191</v>
      </c>
      <c r="B36" s="6">
        <v>17</v>
      </c>
      <c r="C36" s="6">
        <v>18</v>
      </c>
      <c r="D36" s="6">
        <v>30</v>
      </c>
      <c r="M36" s="16" t="s">
        <v>132</v>
      </c>
      <c r="N36" s="18">
        <v>0.8</v>
      </c>
      <c r="O36" s="18">
        <v>0.4</v>
      </c>
      <c r="P36" s="18">
        <v>60</v>
      </c>
      <c r="Q36" s="5" t="s">
        <v>59</v>
      </c>
      <c r="R36" s="5" t="s">
        <v>69</v>
      </c>
    </row>
    <row r="37" spans="1:18" x14ac:dyDescent="0.35">
      <c r="A37" s="7" t="s">
        <v>193</v>
      </c>
      <c r="B37" s="6">
        <v>27</v>
      </c>
      <c r="C37" s="6">
        <v>29</v>
      </c>
      <c r="D37" s="6">
        <v>377</v>
      </c>
      <c r="M37" s="16" t="s">
        <v>62</v>
      </c>
      <c r="N37" s="18">
        <v>0.4</v>
      </c>
      <c r="O37" s="18">
        <v>0.1</v>
      </c>
      <c r="P37" s="18">
        <v>57</v>
      </c>
      <c r="Q37" s="5" t="s">
        <v>59</v>
      </c>
      <c r="R37" s="5" t="s">
        <v>69</v>
      </c>
    </row>
    <row r="38" spans="1:18" x14ac:dyDescent="0.35">
      <c r="A38" s="7" t="s">
        <v>194</v>
      </c>
      <c r="B38" s="6">
        <v>23.5</v>
      </c>
      <c r="C38" s="6">
        <v>30</v>
      </c>
      <c r="D38" s="6">
        <v>364</v>
      </c>
      <c r="M38" s="16" t="s">
        <v>61</v>
      </c>
      <c r="N38" s="18">
        <v>0.3</v>
      </c>
      <c r="O38" s="18">
        <v>0.2</v>
      </c>
      <c r="P38" s="18">
        <v>52</v>
      </c>
      <c r="Q38" s="5" t="s">
        <v>59</v>
      </c>
      <c r="R38" s="5" t="s">
        <v>53</v>
      </c>
    </row>
    <row r="39" spans="1:18" x14ac:dyDescent="0.35">
      <c r="A39" s="7" t="s">
        <v>196</v>
      </c>
      <c r="B39" s="6">
        <v>7</v>
      </c>
      <c r="C39" s="6">
        <v>5</v>
      </c>
      <c r="D39" s="6">
        <v>85</v>
      </c>
      <c r="M39" s="16" t="s">
        <v>60</v>
      </c>
      <c r="N39" s="18">
        <v>1.1000000000000001</v>
      </c>
      <c r="O39" s="18">
        <v>0.3</v>
      </c>
      <c r="P39" s="18">
        <v>89</v>
      </c>
      <c r="Q39" s="5" t="s">
        <v>59</v>
      </c>
      <c r="R39" s="5" t="s">
        <v>69</v>
      </c>
    </row>
    <row r="40" spans="1:18" x14ac:dyDescent="0.35">
      <c r="A40" s="7" t="s">
        <v>212</v>
      </c>
      <c r="B40" s="6">
        <v>26.22</v>
      </c>
      <c r="C40" s="6">
        <v>7.2</v>
      </c>
      <c r="D40" s="6">
        <v>177</v>
      </c>
      <c r="M40" s="16" t="s">
        <v>155</v>
      </c>
      <c r="N40" s="18">
        <v>0.72</v>
      </c>
      <c r="O40" s="18">
        <v>0.16</v>
      </c>
      <c r="P40" s="18">
        <v>69</v>
      </c>
      <c r="Q40" s="5" t="s">
        <v>59</v>
      </c>
      <c r="R40" s="5" t="s">
        <v>69</v>
      </c>
    </row>
    <row r="41" spans="1:18" x14ac:dyDescent="0.35">
      <c r="M41" s="16" t="s">
        <v>156</v>
      </c>
      <c r="N41" s="18">
        <v>1.06</v>
      </c>
      <c r="O41" s="18">
        <v>0.32</v>
      </c>
      <c r="P41" s="18">
        <v>44</v>
      </c>
      <c r="Q41" s="5" t="s">
        <v>59</v>
      </c>
      <c r="R41" s="5" t="s">
        <v>53</v>
      </c>
    </row>
    <row r="42" spans="1:18" x14ac:dyDescent="0.35">
      <c r="M42" s="16" t="s">
        <v>173</v>
      </c>
      <c r="N42" s="18">
        <v>2.2000000000000002</v>
      </c>
      <c r="O42" s="18">
        <v>0.7</v>
      </c>
      <c r="P42" s="18">
        <v>97</v>
      </c>
      <c r="Q42" s="5" t="s">
        <v>59</v>
      </c>
      <c r="R42" s="5" t="s">
        <v>69</v>
      </c>
    </row>
    <row r="43" spans="1:18" x14ac:dyDescent="0.35">
      <c r="M43" s="16" t="s">
        <v>188</v>
      </c>
      <c r="N43" s="18">
        <v>4</v>
      </c>
      <c r="O43" s="18">
        <v>1</v>
      </c>
      <c r="P43" s="18">
        <v>277</v>
      </c>
      <c r="Q43" s="5" t="s">
        <v>59</v>
      </c>
      <c r="R43" s="5" t="s">
        <v>69</v>
      </c>
    </row>
    <row r="44" spans="1:18" x14ac:dyDescent="0.35">
      <c r="M44" s="16" t="s">
        <v>189</v>
      </c>
      <c r="N44" s="18">
        <v>3.3</v>
      </c>
      <c r="O44" s="18">
        <v>0.93</v>
      </c>
      <c r="P44" s="18">
        <v>249</v>
      </c>
      <c r="Q44" s="5" t="s">
        <v>59</v>
      </c>
      <c r="R44" s="5" t="s">
        <v>69</v>
      </c>
    </row>
    <row r="45" spans="1:18" x14ac:dyDescent="0.35">
      <c r="M45" s="16" t="s">
        <v>192</v>
      </c>
      <c r="N45" s="18">
        <v>3.39</v>
      </c>
      <c r="O45" s="18">
        <v>0.51</v>
      </c>
      <c r="P45" s="18">
        <v>241</v>
      </c>
      <c r="Q45" s="5" t="s">
        <v>59</v>
      </c>
      <c r="R45" s="5" t="s">
        <v>69</v>
      </c>
    </row>
    <row r="46" spans="1:18" x14ac:dyDescent="0.35">
      <c r="M46" s="16" t="s">
        <v>195</v>
      </c>
      <c r="N46" s="18">
        <v>0.7</v>
      </c>
      <c r="O46" s="18">
        <v>0.28000000000000003</v>
      </c>
      <c r="P46" s="18">
        <v>46</v>
      </c>
      <c r="Q46" s="5" t="s">
        <v>59</v>
      </c>
      <c r="R46" s="5" t="s">
        <v>53</v>
      </c>
    </row>
    <row r="47" spans="1:18" x14ac:dyDescent="0.35">
      <c r="M47" s="16" t="s">
        <v>197</v>
      </c>
      <c r="N47" s="18">
        <v>1.4</v>
      </c>
      <c r="O47" s="18">
        <v>0.39</v>
      </c>
      <c r="P47" s="18">
        <v>48</v>
      </c>
      <c r="Q47" s="5" t="s">
        <v>59</v>
      </c>
      <c r="R47" s="5" t="s">
        <v>53</v>
      </c>
    </row>
    <row r="48" spans="1:18" x14ac:dyDescent="0.35">
      <c r="M48" s="16" t="s">
        <v>198</v>
      </c>
      <c r="N48" s="18">
        <v>0.91</v>
      </c>
      <c r="O48" s="18">
        <v>0.27</v>
      </c>
      <c r="P48" s="18">
        <v>42</v>
      </c>
      <c r="Q48" s="5" t="s">
        <v>59</v>
      </c>
      <c r="R48" s="5" t="s">
        <v>53</v>
      </c>
    </row>
    <row r="49" spans="13:18" x14ac:dyDescent="0.35">
      <c r="M49" s="16" t="s">
        <v>210</v>
      </c>
      <c r="N49" s="18">
        <v>1</v>
      </c>
      <c r="O49" s="18">
        <v>0.3</v>
      </c>
      <c r="P49" s="18">
        <v>50</v>
      </c>
      <c r="Q49" s="5" t="s">
        <v>59</v>
      </c>
      <c r="R49" s="5" t="s">
        <v>53</v>
      </c>
    </row>
    <row r="50" spans="13:18" x14ac:dyDescent="0.35">
      <c r="M50" s="16" t="s">
        <v>143</v>
      </c>
      <c r="N50" s="18">
        <v>1.83</v>
      </c>
      <c r="O50" s="18">
        <v>0.19</v>
      </c>
      <c r="P50" s="18">
        <v>32</v>
      </c>
      <c r="Q50" s="5" t="s">
        <v>76</v>
      </c>
      <c r="R50" s="5" t="s">
        <v>53</v>
      </c>
    </row>
    <row r="51" spans="13:18" x14ac:dyDescent="0.35">
      <c r="M51" s="16" t="s">
        <v>141</v>
      </c>
      <c r="N51" s="18">
        <v>0.83</v>
      </c>
      <c r="O51" s="18">
        <v>0.23</v>
      </c>
      <c r="P51" s="18">
        <v>35</v>
      </c>
      <c r="Q51" s="5" t="s">
        <v>76</v>
      </c>
      <c r="R51" s="5" t="s">
        <v>53</v>
      </c>
    </row>
    <row r="52" spans="13:18" x14ac:dyDescent="0.35">
      <c r="M52" s="16" t="s">
        <v>137</v>
      </c>
      <c r="N52" s="18">
        <v>1.2</v>
      </c>
      <c r="O52" s="18">
        <v>0.3</v>
      </c>
      <c r="P52" s="18">
        <v>17</v>
      </c>
      <c r="Q52" s="5" t="s">
        <v>76</v>
      </c>
      <c r="R52" s="5" t="s">
        <v>53</v>
      </c>
    </row>
    <row r="53" spans="13:18" x14ac:dyDescent="0.35">
      <c r="M53" s="16" t="s">
        <v>57</v>
      </c>
      <c r="N53" s="18">
        <v>2.38</v>
      </c>
      <c r="O53" s="18">
        <v>0.41</v>
      </c>
      <c r="P53" s="18">
        <v>35</v>
      </c>
      <c r="Q53" s="5" t="s">
        <v>76</v>
      </c>
      <c r="R53" s="5" t="s">
        <v>53</v>
      </c>
    </row>
    <row r="54" spans="13:18" x14ac:dyDescent="0.35">
      <c r="M54" s="16" t="s">
        <v>68</v>
      </c>
      <c r="N54" s="18">
        <v>2</v>
      </c>
      <c r="O54" s="18">
        <v>0.2</v>
      </c>
      <c r="P54" s="18">
        <v>40</v>
      </c>
      <c r="Q54" s="5" t="s">
        <v>76</v>
      </c>
      <c r="R54" s="5" t="s">
        <v>53</v>
      </c>
    </row>
    <row r="55" spans="13:18" x14ac:dyDescent="0.35">
      <c r="M55" s="16" t="s">
        <v>67</v>
      </c>
      <c r="N55" s="18">
        <v>1.9</v>
      </c>
      <c r="O55" s="18">
        <v>0.4</v>
      </c>
      <c r="P55" s="18">
        <v>40</v>
      </c>
      <c r="Q55" s="5" t="s">
        <v>76</v>
      </c>
      <c r="R55" s="5" t="s">
        <v>53</v>
      </c>
    </row>
    <row r="56" spans="13:18" x14ac:dyDescent="0.35">
      <c r="M56" s="16" t="s">
        <v>66</v>
      </c>
      <c r="N56" s="18">
        <v>1.1000000000000001</v>
      </c>
      <c r="O56" s="18">
        <v>0.1</v>
      </c>
      <c r="P56" s="18">
        <v>40</v>
      </c>
      <c r="Q56" s="5" t="s">
        <v>76</v>
      </c>
      <c r="R56" s="5" t="s">
        <v>53</v>
      </c>
    </row>
    <row r="57" spans="13:18" x14ac:dyDescent="0.35">
      <c r="M57" s="16" t="s">
        <v>51</v>
      </c>
      <c r="N57" s="18">
        <v>0.93</v>
      </c>
      <c r="O57" s="18">
        <v>0.24</v>
      </c>
      <c r="P57" s="18">
        <v>41</v>
      </c>
      <c r="Q57" s="5" t="s">
        <v>76</v>
      </c>
      <c r="R57" s="5" t="s">
        <v>53</v>
      </c>
    </row>
    <row r="58" spans="13:18" x14ac:dyDescent="0.35">
      <c r="M58" s="16" t="s">
        <v>54</v>
      </c>
      <c r="N58" s="18">
        <v>0.89</v>
      </c>
      <c r="O58" s="18">
        <v>0.2</v>
      </c>
      <c r="P58" s="18">
        <v>18</v>
      </c>
      <c r="Q58" s="5" t="s">
        <v>76</v>
      </c>
      <c r="R58" s="5" t="s">
        <v>53</v>
      </c>
    </row>
    <row r="59" spans="13:18" x14ac:dyDescent="0.35">
      <c r="M59" s="16" t="s">
        <v>55</v>
      </c>
      <c r="N59" s="18">
        <v>0.65</v>
      </c>
      <c r="O59" s="18">
        <v>0.11</v>
      </c>
      <c r="P59" s="18">
        <v>15</v>
      </c>
      <c r="Q59" s="5" t="s">
        <v>76</v>
      </c>
      <c r="R59" s="5" t="s">
        <v>53</v>
      </c>
    </row>
    <row r="60" spans="13:18" x14ac:dyDescent="0.35">
      <c r="M60" s="16" t="s">
        <v>56</v>
      </c>
      <c r="N60" s="18">
        <v>0.68</v>
      </c>
      <c r="O60" s="18">
        <v>0.1</v>
      </c>
      <c r="P60" s="18">
        <v>16</v>
      </c>
      <c r="Q60" s="5" t="s">
        <v>76</v>
      </c>
      <c r="R60" s="5" t="s">
        <v>53</v>
      </c>
    </row>
    <row r="61" spans="13:18" x14ac:dyDescent="0.35">
      <c r="M61" s="16" t="s">
        <v>58</v>
      </c>
      <c r="N61" s="18">
        <v>1.98</v>
      </c>
      <c r="O61" s="18">
        <v>0.1</v>
      </c>
      <c r="P61" s="18">
        <v>25</v>
      </c>
      <c r="Q61" s="5" t="s">
        <v>76</v>
      </c>
      <c r="R61" s="5" t="s">
        <v>53</v>
      </c>
    </row>
    <row r="62" spans="13:18" x14ac:dyDescent="0.35">
      <c r="M62" s="16" t="s">
        <v>133</v>
      </c>
      <c r="N62" s="18">
        <v>6.4</v>
      </c>
      <c r="O62" s="18">
        <v>0.5</v>
      </c>
      <c r="P62" s="18">
        <v>149</v>
      </c>
      <c r="Q62" s="5" t="s">
        <v>76</v>
      </c>
      <c r="R62" s="5" t="s">
        <v>53</v>
      </c>
    </row>
    <row r="63" spans="13:18" x14ac:dyDescent="0.35">
      <c r="M63" s="16" t="s">
        <v>136</v>
      </c>
      <c r="N63" s="18">
        <v>0.9</v>
      </c>
      <c r="O63" s="18">
        <v>0.4</v>
      </c>
      <c r="P63" s="18">
        <v>28</v>
      </c>
      <c r="Q63" s="5" t="s">
        <v>76</v>
      </c>
      <c r="R63" s="5" t="s">
        <v>53</v>
      </c>
    </row>
    <row r="64" spans="13:18" x14ac:dyDescent="0.35">
      <c r="M64" s="16" t="s">
        <v>148</v>
      </c>
      <c r="N64" s="18">
        <v>1.9</v>
      </c>
      <c r="O64" s="18">
        <v>0.4</v>
      </c>
      <c r="P64" s="18">
        <v>40</v>
      </c>
      <c r="Q64" s="5" t="s">
        <v>76</v>
      </c>
      <c r="R64" s="5" t="s">
        <v>53</v>
      </c>
    </row>
    <row r="65" spans="13:18" x14ac:dyDescent="0.35">
      <c r="M65" s="16" t="s">
        <v>158</v>
      </c>
      <c r="N65" s="18">
        <v>2.17</v>
      </c>
      <c r="O65" s="18">
        <v>0.47</v>
      </c>
      <c r="P65" s="18">
        <v>28</v>
      </c>
      <c r="Q65" s="5" t="s">
        <v>76</v>
      </c>
      <c r="R65" s="5" t="s">
        <v>53</v>
      </c>
    </row>
    <row r="66" spans="13:18" x14ac:dyDescent="0.35">
      <c r="M66" s="16" t="s">
        <v>170</v>
      </c>
      <c r="N66" s="20">
        <v>5.42</v>
      </c>
      <c r="O66" s="20">
        <v>0.4</v>
      </c>
      <c r="P66" s="18">
        <v>81</v>
      </c>
      <c r="Q66" s="5" t="s">
        <v>76</v>
      </c>
      <c r="R66" s="5" t="s">
        <v>53</v>
      </c>
    </row>
    <row r="67" spans="13:18" x14ac:dyDescent="0.35">
      <c r="M67" s="16" t="s">
        <v>176</v>
      </c>
      <c r="N67" s="20">
        <v>1.89</v>
      </c>
      <c r="O67" s="20">
        <v>0.28000000000000003</v>
      </c>
      <c r="P67" s="18">
        <v>35</v>
      </c>
      <c r="Q67" s="5" t="s">
        <v>76</v>
      </c>
      <c r="R67" s="5" t="s">
        <v>53</v>
      </c>
    </row>
    <row r="68" spans="13:18" x14ac:dyDescent="0.35">
      <c r="M68" s="16" t="s">
        <v>190</v>
      </c>
      <c r="N68" s="20">
        <v>2.13</v>
      </c>
      <c r="O68" s="20">
        <v>0.5</v>
      </c>
      <c r="P68" s="20">
        <v>23</v>
      </c>
      <c r="Q68" s="5" t="s">
        <v>76</v>
      </c>
      <c r="R68" s="5" t="s">
        <v>53</v>
      </c>
    </row>
  </sheetData>
  <sortState xmlns:xlrd2="http://schemas.microsoft.com/office/spreadsheetml/2017/richdata2" ref="A3:A4">
    <sortCondition ref="A3:A4"/>
  </sortState>
  <mergeCells count="4">
    <mergeCell ref="A1:D1"/>
    <mergeCell ref="S1:V1"/>
    <mergeCell ref="M1:P1"/>
    <mergeCell ref="G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36"/>
  <sheetViews>
    <sheetView zoomScale="109" zoomScaleNormal="109" workbookViewId="0">
      <selection activeCell="I42" sqref="I42"/>
    </sheetView>
  </sheetViews>
  <sheetFormatPr defaultRowHeight="14.5" x14ac:dyDescent="0.35"/>
  <cols>
    <col min="1" max="1" width="11.81640625" style="5" bestFit="1" customWidth="1"/>
    <col min="2" max="2" width="9.1796875" style="4"/>
    <col min="3" max="5" width="8.7265625" style="4"/>
    <col min="6" max="6" width="8.7265625" style="5"/>
    <col min="7" max="7" width="8.7265625" style="4"/>
    <col min="8" max="8" width="8.7265625" style="18"/>
    <col min="9" max="9" width="36.54296875" style="5" bestFit="1" customWidth="1"/>
    <col min="10" max="10" width="13.1796875" bestFit="1" customWidth="1"/>
    <col min="11" max="11" width="3.54296875" customWidth="1"/>
    <col min="18" max="18" width="5.26953125" customWidth="1"/>
    <col min="27" max="28" width="8.7265625" style="5"/>
  </cols>
  <sheetData>
    <row r="1" spans="1:28" x14ac:dyDescent="0.35">
      <c r="A1" s="19">
        <v>46152</v>
      </c>
      <c r="B1" s="4">
        <v>81.7</v>
      </c>
      <c r="C1" s="4">
        <f t="shared" ref="C1:C64" si="0">IF(B1="","",ROW()*$I$15+$J$15)</f>
        <v>79.781196581196582</v>
      </c>
      <c r="D1" s="4">
        <f>IF(B1="","",B1)</f>
        <v>81.7</v>
      </c>
      <c r="E1" s="4">
        <f t="shared" ref="E1:E64" si="1">IF(D1="","",ROW()*$I$18+$J$18)</f>
        <v>80.004035021447848</v>
      </c>
      <c r="F1" s="4">
        <f>IFERROR(AVERAGE(INDEX(B:B,(ROW()-1)*7+1):INDEX(B:B,ROW()*7)),"")</f>
        <v>79.842857142857156</v>
      </c>
      <c r="G1" s="4">
        <f t="shared" ref="G1:G64" si="2">IF(F1="","",ROW()*$I$21+$J$21)</f>
        <v>79.098571428571432</v>
      </c>
      <c r="H1" s="18" cm="1">
        <f t="array" ref="H1">IF(INDEX($B:$B,1+7*ROWS($H$1:H1))="","",INDEX($B:$B,1+7*(ROWS($H$1:H1)-1))-INDEX($B:$B,1+7*ROWS($H$1:H1)))</f>
        <v>2.9000000000000057</v>
      </c>
      <c r="I1" s="12" t="s">
        <v>120</v>
      </c>
      <c r="J1" s="14">
        <v>70</v>
      </c>
      <c r="S1" s="17"/>
      <c r="AA1" s="5">
        <f>IF(B1="","",B1)</f>
        <v>81.7</v>
      </c>
      <c r="AB1" s="5">
        <f>IF(B1="","",B1)</f>
        <v>81.7</v>
      </c>
    </row>
    <row r="2" spans="1:28" x14ac:dyDescent="0.35">
      <c r="A2" s="3">
        <v>46153</v>
      </c>
      <c r="B2" s="4">
        <v>80.2</v>
      </c>
      <c r="C2" s="4">
        <f t="shared" si="0"/>
        <v>79.610700854700866</v>
      </c>
      <c r="D2" s="4">
        <f t="shared" ref="D2:D65" si="3">IF(B2="","",2*(3*AB2-(ROW()+1)*AA2)/(ROW()*(ROW()+1)))</f>
        <v>80.2</v>
      </c>
      <c r="E2" s="4">
        <f t="shared" si="1"/>
        <v>79.774271018634607</v>
      </c>
      <c r="F2" s="4">
        <f>IFERROR(AVERAGE(INDEX(B:B,(ROW()-1)*7+1):INDEX(B:B,ROW()*7)),"")</f>
        <v>77.414285714285711</v>
      </c>
      <c r="G2" s="4">
        <f t="shared" si="2"/>
        <v>78.097142857142856</v>
      </c>
      <c r="H2" s="18" cm="1">
        <f t="array" ref="H2">IF(INDEX($B:$B,1+7*ROWS($H$1:H2))="","",INDEX($B:$B,1+7*(ROWS($H$1:H2)-1))-INDEX($B:$B,1+7*ROWS($H$1:H2)))</f>
        <v>2.3999999999999915</v>
      </c>
      <c r="I2" s="2" t="s">
        <v>121</v>
      </c>
      <c r="J2" s="9" cm="1">
        <f t="array" ref="J2">B1 - INDEX(B:B,COUNT(B:B))</f>
        <v>5.6000000000000085</v>
      </c>
      <c r="S2" s="17"/>
      <c r="AA2" s="5">
        <f t="shared" ref="AA2:AA65" si="4">IF(B2="","",IF(AA1="",B2,AA1+B2))</f>
        <v>161.9</v>
      </c>
      <c r="AB2" s="5">
        <f t="shared" ref="AB2:AB65" si="5">IF(B2="","",IF(AB1="",ROW()*B2,AB1+ROW()*B2))</f>
        <v>242.10000000000002</v>
      </c>
    </row>
    <row r="3" spans="1:28" x14ac:dyDescent="0.35">
      <c r="A3" s="3">
        <v>46154</v>
      </c>
      <c r="B3" s="4">
        <v>80.2</v>
      </c>
      <c r="C3" s="4">
        <f t="shared" si="0"/>
        <v>79.440205128205136</v>
      </c>
      <c r="D3" s="4">
        <f t="shared" si="3"/>
        <v>79.95</v>
      </c>
      <c r="E3" s="4">
        <f t="shared" si="1"/>
        <v>79.544507015821381</v>
      </c>
      <c r="F3" s="4">
        <f>IFERROR(AVERAGE(INDEX(B:B,(ROW()-1)*7+1):INDEX(B:B,ROW()*7)),"")</f>
        <v>76.228571428571428</v>
      </c>
      <c r="G3" s="4">
        <f t="shared" si="2"/>
        <v>77.095714285714294</v>
      </c>
      <c r="H3" s="18" cm="1">
        <f t="array" ref="H3">IF(INDEX($B:$B,1+7*ROWS($H$1:H3))="","",INDEX($B:$B,1+7*(ROWS($H$1:H3)-1))-INDEX($B:$B,1+7*ROWS($H$1:H3)))</f>
        <v>0.10000000000000853</v>
      </c>
      <c r="I3" s="2" t="s">
        <v>122</v>
      </c>
      <c r="J3" s="10">
        <f>COUNT(B:B) - 1</f>
        <v>25</v>
      </c>
      <c r="S3" s="17"/>
      <c r="AA3" s="5">
        <f t="shared" si="4"/>
        <v>242.10000000000002</v>
      </c>
      <c r="AB3" s="5">
        <f t="shared" si="5"/>
        <v>482.70000000000005</v>
      </c>
    </row>
    <row r="4" spans="1:28" x14ac:dyDescent="0.35">
      <c r="A4" s="3">
        <v>46155</v>
      </c>
      <c r="B4" s="4">
        <v>79.3</v>
      </c>
      <c r="C4" s="4">
        <f t="shared" si="0"/>
        <v>79.269709401709406</v>
      </c>
      <c r="D4" s="4">
        <f t="shared" si="3"/>
        <v>79.27000000000001</v>
      </c>
      <c r="E4" s="4">
        <f t="shared" si="1"/>
        <v>79.31474301300814</v>
      </c>
      <c r="F4" s="4">
        <f>IFERROR(AVERAGE(INDEX(B:B,(ROW()-1)*7+1):INDEX(B:B,ROW()*7)),"")</f>
        <v>76.900000000000006</v>
      </c>
      <c r="G4" s="4">
        <f t="shared" si="2"/>
        <v>76.094285714285718</v>
      </c>
      <c r="H4" s="18" t="str" cm="1">
        <f t="array" ref="H4">IF(INDEX($B:$B,1+7*ROWS($H$1:H4))="","",INDEX($B:$B,1+7*(ROWS($H$1:H4)-1))-INDEX($B:$B,1+7*ROWS($H$1:H4)))</f>
        <v/>
      </c>
      <c r="I4" s="2" t="s">
        <v>123</v>
      </c>
      <c r="J4" s="8">
        <f>(J2/J3)*7</f>
        <v>1.5680000000000023</v>
      </c>
      <c r="S4" s="17"/>
      <c r="AA4" s="5">
        <f t="shared" si="4"/>
        <v>321.40000000000003</v>
      </c>
      <c r="AB4" s="5">
        <f t="shared" si="5"/>
        <v>799.90000000000009</v>
      </c>
    </row>
    <row r="5" spans="1:28" x14ac:dyDescent="0.35">
      <c r="A5" s="3">
        <v>46156</v>
      </c>
      <c r="B5" s="4">
        <v>79.3</v>
      </c>
      <c r="C5" s="4">
        <f t="shared" si="0"/>
        <v>79.099213675213676</v>
      </c>
      <c r="D5" s="4">
        <f t="shared" si="3"/>
        <v>79</v>
      </c>
      <c r="E5" s="4">
        <f t="shared" si="1"/>
        <v>79.084979010194914</v>
      </c>
      <c r="F5" s="4" t="str">
        <f>IFERROR(AVERAGE(INDEX(B:B,(ROW()-1)*7+1):INDEX(B:B,ROW()*7)),"")</f>
        <v/>
      </c>
      <c r="G5" s="4" t="str">
        <f t="shared" si="2"/>
        <v/>
      </c>
      <c r="H5" s="18" t="str" cm="1">
        <f t="array" ref="H5">IF(INDEX($B:$B,1+7*ROWS($H$1:H5))="","",INDEX($B:$B,1+7*(ROWS($H$1:H5)-1))-INDEX($B:$B,1+7*ROWS($H$1:H5)))</f>
        <v/>
      </c>
      <c r="I5" s="2" t="s">
        <v>124</v>
      </c>
      <c r="J5" s="9" cm="1">
        <f t="array" ref="J5">INDEX(B:B,COUNT(B:B))-J1</f>
        <v>6.0999999999999943</v>
      </c>
      <c r="S5" s="17"/>
      <c r="AA5" s="5">
        <f t="shared" si="4"/>
        <v>400.70000000000005</v>
      </c>
      <c r="AB5" s="5">
        <f t="shared" si="5"/>
        <v>1196.4000000000001</v>
      </c>
    </row>
    <row r="6" spans="1:28" x14ac:dyDescent="0.35">
      <c r="A6" s="3">
        <v>46157</v>
      </c>
      <c r="B6" s="4">
        <v>79.599999999999994</v>
      </c>
      <c r="C6" s="4">
        <f t="shared" si="0"/>
        <v>78.92871794871796</v>
      </c>
      <c r="D6" s="4">
        <f t="shared" si="3"/>
        <v>79.04285714285713</v>
      </c>
      <c r="E6" s="4">
        <f t="shared" si="1"/>
        <v>78.855215007381673</v>
      </c>
      <c r="F6" s="4" t="str">
        <f>IFERROR(AVERAGE(INDEX(B:B,(ROW()-1)*7+1):INDEX(B:B,ROW()*7)),"")</f>
        <v/>
      </c>
      <c r="G6" s="4" t="str">
        <f t="shared" si="2"/>
        <v/>
      </c>
      <c r="H6" s="18" t="str" cm="1">
        <f t="array" ref="H6">IF(INDEX($B:$B,1+7*ROWS($H$1:H6))="","",INDEX($B:$B,1+7*(ROWS($H$1:H6)-1))-INDEX($B:$B,1+7*ROWS($H$1:H6)))</f>
        <v/>
      </c>
      <c r="I6" s="2" t="s">
        <v>160</v>
      </c>
      <c r="J6" s="1" cm="1">
        <f t="array" ref="J6">ROUNDUP((LOOKUP(2,1/(B:B&lt;&gt;""),B:B)-J1)/(1/7),0)</f>
        <v>43</v>
      </c>
      <c r="S6" s="17"/>
      <c r="AA6" s="5">
        <f t="shared" si="4"/>
        <v>480.30000000000007</v>
      </c>
      <c r="AB6" s="5">
        <f t="shared" si="5"/>
        <v>1674</v>
      </c>
    </row>
    <row r="7" spans="1:28" x14ac:dyDescent="0.35">
      <c r="A7" s="3">
        <v>46158</v>
      </c>
      <c r="B7" s="4">
        <v>78.599999999999994</v>
      </c>
      <c r="C7" s="4">
        <f t="shared" si="0"/>
        <v>78.75822222222223</v>
      </c>
      <c r="D7" s="4">
        <f t="shared" si="3"/>
        <v>78.621428571428524</v>
      </c>
      <c r="E7" s="4">
        <f t="shared" si="1"/>
        <v>78.625451004568447</v>
      </c>
      <c r="F7" s="4" t="str">
        <f>IFERROR(AVERAGE(INDEX(B:B,(ROW()-1)*7+1):INDEX(B:B,ROW()*7)),"")</f>
        <v/>
      </c>
      <c r="G7" s="4" t="str">
        <f t="shared" si="2"/>
        <v/>
      </c>
      <c r="H7" s="18" t="str" cm="1">
        <f t="array" ref="H7">IF(INDEX($B:$B,1+7*ROWS($H$1:H7))="","",INDEX($B:$B,1+7*(ROWS($H$1:H7)-1))-INDEX($B:$B,1+7*ROWS($H$1:H7)))</f>
        <v/>
      </c>
      <c r="I7" s="2" t="s">
        <v>163</v>
      </c>
      <c r="J7" s="15" cm="1">
        <f t="array" ref="J7">INDEX(A:A,COUNT(B:B)) + J6</f>
        <v>46220</v>
      </c>
      <c r="S7" s="17"/>
      <c r="AA7" s="5">
        <f t="shared" si="4"/>
        <v>558.90000000000009</v>
      </c>
      <c r="AB7" s="5">
        <f t="shared" si="5"/>
        <v>2224.1999999999998</v>
      </c>
    </row>
    <row r="8" spans="1:28" x14ac:dyDescent="0.35">
      <c r="A8" s="19">
        <v>46159</v>
      </c>
      <c r="B8" s="4">
        <v>78.8</v>
      </c>
      <c r="C8" s="4">
        <f t="shared" si="0"/>
        <v>78.5877264957265</v>
      </c>
      <c r="D8" s="4">
        <f t="shared" si="3"/>
        <v>78.458333333333314</v>
      </c>
      <c r="E8" s="4">
        <f t="shared" si="1"/>
        <v>78.395687001755206</v>
      </c>
      <c r="F8" s="4" t="str">
        <f>IFERROR(AVERAGE(INDEX(B:B,(ROW()-1)*7+1):INDEX(B:B,ROW()*7)),"")</f>
        <v/>
      </c>
      <c r="G8" s="4" t="str">
        <f t="shared" si="2"/>
        <v/>
      </c>
      <c r="H8" s="18" t="str" cm="1">
        <f t="array" ref="H8">IF(INDEX($B:$B,1+7*ROWS($H$1:H8))="","",INDEX($B:$B,1+7*(ROWS($H$1:H8)-1))-INDEX($B:$B,1+7*ROWS($H$1:H8)))</f>
        <v/>
      </c>
      <c r="I8" s="2" t="s">
        <v>161</v>
      </c>
      <c r="J8" s="1">
        <f>_xlfn.CEILING.MATH(J5/(J4/7))</f>
        <v>28</v>
      </c>
      <c r="S8" s="17"/>
      <c r="AA8" s="5">
        <f t="shared" si="4"/>
        <v>637.70000000000005</v>
      </c>
      <c r="AB8" s="5">
        <f t="shared" si="5"/>
        <v>2854.6</v>
      </c>
    </row>
    <row r="9" spans="1:28" x14ac:dyDescent="0.35">
      <c r="A9" s="3">
        <v>46160</v>
      </c>
      <c r="B9" s="4">
        <v>78.2</v>
      </c>
      <c r="C9" s="4">
        <f t="shared" si="0"/>
        <v>78.41723076923077</v>
      </c>
      <c r="D9" s="4">
        <f t="shared" si="3"/>
        <v>78.137777777777771</v>
      </c>
      <c r="E9" s="4">
        <f t="shared" si="1"/>
        <v>78.16592299894198</v>
      </c>
      <c r="F9" s="4" t="str">
        <f>IFERROR(AVERAGE(INDEX(B:B,(ROW()-1)*7+1):INDEX(B:B,ROW()*7)),"")</f>
        <v/>
      </c>
      <c r="G9" s="4" t="str">
        <f t="shared" si="2"/>
        <v/>
      </c>
      <c r="H9" s="18" t="str" cm="1">
        <f t="array" ref="H9">IF(INDEX($B:$B,1+7*ROWS($H$1:H9))="","",INDEX($B:$B,1+7*(ROWS($H$1:H9)-1))-INDEX($B:$B,1+7*ROWS($H$1:H9)))</f>
        <v/>
      </c>
      <c r="I9" s="2" t="s">
        <v>162</v>
      </c>
      <c r="J9" s="15" cm="1">
        <f t="array" ref="J9">INDEX(A:A,COUNT(B:B)) + J8</f>
        <v>46205</v>
      </c>
      <c r="S9" s="17"/>
      <c r="AA9" s="5">
        <f t="shared" si="4"/>
        <v>715.90000000000009</v>
      </c>
      <c r="AB9" s="5">
        <f t="shared" si="5"/>
        <v>3558.4</v>
      </c>
    </row>
    <row r="10" spans="1:28" x14ac:dyDescent="0.35">
      <c r="A10" s="3">
        <v>46161</v>
      </c>
      <c r="B10" s="4">
        <v>77.5</v>
      </c>
      <c r="C10" s="4">
        <f t="shared" si="0"/>
        <v>78.246735042735054</v>
      </c>
      <c r="D10" s="4">
        <f t="shared" si="3"/>
        <v>77.687272727272685</v>
      </c>
      <c r="E10" s="4">
        <f t="shared" si="1"/>
        <v>77.936158996128739</v>
      </c>
      <c r="F10" s="4" t="str">
        <f>IFERROR(AVERAGE(INDEX(B:B,(ROW()-1)*7+1):INDEX(B:B,ROW()*7)),"")</f>
        <v/>
      </c>
      <c r="G10" s="4" t="str">
        <f t="shared" si="2"/>
        <v/>
      </c>
      <c r="H10" s="18" t="str" cm="1">
        <f t="array" ref="H10">IF(INDEX($B:$B,1+7*ROWS($H$1:H10))="","",INDEX($B:$B,1+7*(ROWS($H$1:H10)-1))-INDEX($B:$B,1+7*ROWS($H$1:H10)))</f>
        <v/>
      </c>
      <c r="I10" s="2" t="s">
        <v>125</v>
      </c>
      <c r="J10" s="10">
        <f>_xlfn.CEILING.MATH(((J1-J15)/I15) - COUNT(B:B))</f>
        <v>33</v>
      </c>
      <c r="S10" s="17"/>
      <c r="AA10" s="5">
        <f t="shared" si="4"/>
        <v>793.40000000000009</v>
      </c>
      <c r="AB10" s="5">
        <f t="shared" si="5"/>
        <v>4333.3999999999996</v>
      </c>
    </row>
    <row r="11" spans="1:28" x14ac:dyDescent="0.35">
      <c r="A11" s="3">
        <v>46162</v>
      </c>
      <c r="B11" s="4">
        <v>76.900000000000006</v>
      </c>
      <c r="C11" s="4">
        <f t="shared" si="0"/>
        <v>78.076239316239324</v>
      </c>
      <c r="D11" s="4">
        <f t="shared" si="3"/>
        <v>77.186363636363595</v>
      </c>
      <c r="E11" s="4">
        <f t="shared" si="1"/>
        <v>77.706394993315513</v>
      </c>
      <c r="F11" s="4" t="str">
        <f>IFERROR(AVERAGE(INDEX(B:B,(ROW()-1)*7+1):INDEX(B:B,ROW()*7)),"")</f>
        <v/>
      </c>
      <c r="G11" s="4" t="str">
        <f t="shared" si="2"/>
        <v/>
      </c>
      <c r="H11" s="18" t="str" cm="1">
        <f t="array" ref="H11">IF(INDEX($B:$B,1+7*ROWS($H$1:H11))="","",INDEX($B:$B,1+7*(ROWS($H$1:H11)-1))-INDEX($B:$B,1+7*ROWS($H$1:H11)))</f>
        <v/>
      </c>
      <c r="I11" s="2" t="s">
        <v>126</v>
      </c>
      <c r="J11" s="15" cm="1">
        <f t="array" ref="J11">INDEX(A:A,COUNT(B:B)) + J10</f>
        <v>46210</v>
      </c>
      <c r="S11" s="17"/>
      <c r="AA11" s="5">
        <f t="shared" si="4"/>
        <v>870.30000000000007</v>
      </c>
      <c r="AB11" s="5">
        <f t="shared" si="5"/>
        <v>5179.2999999999993</v>
      </c>
    </row>
    <row r="12" spans="1:28" x14ac:dyDescent="0.35">
      <c r="A12" s="3">
        <v>46163</v>
      </c>
      <c r="B12" s="4">
        <v>77.3</v>
      </c>
      <c r="C12" s="4">
        <f t="shared" si="0"/>
        <v>77.905743589743594</v>
      </c>
      <c r="D12" s="4">
        <f t="shared" si="3"/>
        <v>76.947435897435852</v>
      </c>
      <c r="E12" s="4">
        <f t="shared" si="1"/>
        <v>77.476630990502287</v>
      </c>
      <c r="F12" s="4" t="str">
        <f>IFERROR(AVERAGE(INDEX(B:B,(ROW()-1)*7+1):INDEX(B:B,ROW()*7)),"")</f>
        <v/>
      </c>
      <c r="G12" s="4" t="str">
        <f t="shared" si="2"/>
        <v/>
      </c>
      <c r="H12" s="18" t="str" cm="1">
        <f t="array" ref="H12">IF(INDEX($B:$B,1+7*ROWS($H$1:H12))="","",INDEX($B:$B,1+7*(ROWS($H$1:H12)-1))-INDEX($B:$B,1+7*ROWS($H$1:H12)))</f>
        <v/>
      </c>
      <c r="I12" s="2" t="s">
        <v>127</v>
      </c>
      <c r="J12" s="10">
        <f>_xlfn.CEILING.MATH(((J1-J18)/I18) - COUNT(B:B))</f>
        <v>19</v>
      </c>
      <c r="S12" s="17"/>
      <c r="AA12" s="5">
        <f t="shared" si="4"/>
        <v>947.6</v>
      </c>
      <c r="AB12" s="5">
        <f t="shared" si="5"/>
        <v>6106.9</v>
      </c>
    </row>
    <row r="13" spans="1:28" x14ac:dyDescent="0.35">
      <c r="A13" s="3">
        <v>46164</v>
      </c>
      <c r="B13" s="4">
        <v>76.8</v>
      </c>
      <c r="C13" s="4">
        <f t="shared" si="0"/>
        <v>77.735247863247864</v>
      </c>
      <c r="D13" s="4">
        <f t="shared" si="3"/>
        <v>76.640659340659298</v>
      </c>
      <c r="E13" s="4">
        <f t="shared" si="1"/>
        <v>77.246866987689046</v>
      </c>
      <c r="F13" s="4" t="str">
        <f>IFERROR(AVERAGE(INDEX(B:B,(ROW()-1)*7+1):INDEX(B:B,ROW()*7)),"")</f>
        <v/>
      </c>
      <c r="G13" s="4" t="str">
        <f t="shared" si="2"/>
        <v/>
      </c>
      <c r="H13" s="18" t="str" cm="1">
        <f t="array" ref="H13">IF(INDEX($B:$B,1+7*ROWS($H$1:H13))="","",INDEX($B:$B,1+7*(ROWS($H$1:H13)-1))-INDEX($B:$B,1+7*ROWS($H$1:H13)))</f>
        <v/>
      </c>
      <c r="I13" s="13" t="s">
        <v>128</v>
      </c>
      <c r="J13" s="11" cm="1">
        <f t="array" ref="J13">INDEX(A:A,COUNT(B:B)) + J12</f>
        <v>46196</v>
      </c>
      <c r="S13" s="17"/>
      <c r="AA13" s="5">
        <f t="shared" si="4"/>
        <v>1024.4000000000001</v>
      </c>
      <c r="AB13" s="5">
        <f t="shared" si="5"/>
        <v>7105.2999999999993</v>
      </c>
    </row>
    <row r="14" spans="1:28" x14ac:dyDescent="0.35">
      <c r="A14" s="3">
        <v>46165</v>
      </c>
      <c r="B14" s="4">
        <v>76.400000000000006</v>
      </c>
      <c r="C14" s="4">
        <f t="shared" si="0"/>
        <v>77.564752136752148</v>
      </c>
      <c r="D14" s="4">
        <f t="shared" si="3"/>
        <v>76.311428571428507</v>
      </c>
      <c r="E14" s="4">
        <f t="shared" si="1"/>
        <v>77.01710298487582</v>
      </c>
      <c r="F14" s="4" t="str">
        <f>IFERROR(AVERAGE(INDEX(B:B,(ROW()-1)*7+1):INDEX(B:B,ROW()*7)),"")</f>
        <v/>
      </c>
      <c r="G14" s="4" t="str">
        <f t="shared" si="2"/>
        <v/>
      </c>
      <c r="H14" s="18" t="str" cm="1">
        <f t="array" ref="H14">IF(INDEX($B:$B,1+7*ROWS($H$1:H14))="","",INDEX($B:$B,1+7*(ROWS($H$1:H14)-1))-INDEX($B:$B,1+7*ROWS($H$1:H14)))</f>
        <v/>
      </c>
      <c r="I14" s="65" t="s">
        <v>129</v>
      </c>
      <c r="J14" s="65"/>
      <c r="S14" s="17"/>
      <c r="AA14" s="5">
        <f t="shared" si="4"/>
        <v>1100.8000000000002</v>
      </c>
      <c r="AB14" s="5">
        <f t="shared" si="5"/>
        <v>8174.9</v>
      </c>
    </row>
    <row r="15" spans="1:28" x14ac:dyDescent="0.35">
      <c r="A15" s="19">
        <v>46166</v>
      </c>
      <c r="B15" s="4">
        <v>76.400000000000006</v>
      </c>
      <c r="C15" s="4">
        <f t="shared" si="0"/>
        <v>77.394256410256418</v>
      </c>
      <c r="D15" s="4">
        <f t="shared" si="3"/>
        <v>76.062499999999943</v>
      </c>
      <c r="E15" s="4">
        <f t="shared" si="1"/>
        <v>76.787338982062579</v>
      </c>
      <c r="F15" s="4" t="str">
        <f>IFERROR(AVERAGE(INDEX(B:B,(ROW()-1)*7+1):INDEX(B:B,ROW()*7)),"")</f>
        <v/>
      </c>
      <c r="G15" s="4" t="str">
        <f t="shared" si="2"/>
        <v/>
      </c>
      <c r="H15" s="18" t="str" cm="1">
        <f t="array" ref="H15">IF(INDEX($B:$B,1+7*ROWS($H$1:H15))="","",INDEX($B:$B,1+7*(ROWS($H$1:H15)-1))-INDEX($B:$B,1+7*ROWS($H$1:H15)))</f>
        <v/>
      </c>
      <c r="I15" s="5">
        <f t="array" ref="I15:J15">LINEST(B1:INDEX(B:B,COUNT(B:B)))</f>
        <v>-0.1704957264957265</v>
      </c>
      <c r="J15" s="5">
        <v>79.951692307692312</v>
      </c>
      <c r="S15" s="17"/>
      <c r="AA15" s="5">
        <f t="shared" si="4"/>
        <v>1177.2000000000003</v>
      </c>
      <c r="AB15" s="5">
        <f t="shared" si="5"/>
        <v>9320.9</v>
      </c>
    </row>
    <row r="16" spans="1:28" x14ac:dyDescent="0.35">
      <c r="A16" s="3">
        <v>46167</v>
      </c>
      <c r="B16" s="4">
        <v>76.400000000000006</v>
      </c>
      <c r="C16" s="4">
        <f t="shared" si="0"/>
        <v>77.223760683760688</v>
      </c>
      <c r="D16" s="4">
        <f t="shared" si="3"/>
        <v>75.872794117647004</v>
      </c>
      <c r="E16" s="4">
        <f t="shared" si="1"/>
        <v>76.557574979249353</v>
      </c>
      <c r="F16" s="4" t="str">
        <f>IFERROR(AVERAGE(INDEX(B:B,(ROW()-1)*7+1):INDEX(B:B,ROW()*7)),"")</f>
        <v/>
      </c>
      <c r="G16" s="4" t="str">
        <f t="shared" si="2"/>
        <v/>
      </c>
      <c r="H16" s="18" t="str" cm="1">
        <f t="array" ref="H16">IF(INDEX($B:$B,1+7*ROWS($H$1:H16))="","",INDEX($B:$B,1+7*(ROWS($H$1:H16)-1))-INDEX($B:$B,1+7*ROWS($H$1:H16)))</f>
        <v/>
      </c>
      <c r="J16" s="5"/>
      <c r="S16" s="17"/>
      <c r="AA16" s="5">
        <f t="shared" si="4"/>
        <v>1253.6000000000004</v>
      </c>
      <c r="AB16" s="5">
        <f t="shared" si="5"/>
        <v>10543.3</v>
      </c>
    </row>
    <row r="17" spans="1:28" x14ac:dyDescent="0.35">
      <c r="A17" s="3">
        <v>46168</v>
      </c>
      <c r="B17" s="4">
        <v>75.8</v>
      </c>
      <c r="C17" s="4">
        <f t="shared" si="0"/>
        <v>77.053264957264958</v>
      </c>
      <c r="D17" s="4">
        <f t="shared" si="3"/>
        <v>75.598039215686228</v>
      </c>
      <c r="E17" s="4">
        <f t="shared" si="1"/>
        <v>76.327810976436112</v>
      </c>
      <c r="F17" s="4" t="str">
        <f>IFERROR(AVERAGE(INDEX(B:B,(ROW()-1)*7+1):INDEX(B:B,ROW()*7)),"")</f>
        <v/>
      </c>
      <c r="G17" s="4" t="str">
        <f t="shared" si="2"/>
        <v/>
      </c>
      <c r="H17" s="18" t="str" cm="1">
        <f t="array" ref="H17">IF(INDEX($B:$B,1+7*ROWS($H$1:H17))="","",INDEX($B:$B,1+7*(ROWS($H$1:H17)-1))-INDEX($B:$B,1+7*ROWS($H$1:H17)))</f>
        <v/>
      </c>
      <c r="I17" s="65" t="s">
        <v>130</v>
      </c>
      <c r="J17" s="65"/>
      <c r="S17" s="17"/>
      <c r="AA17" s="5">
        <f t="shared" si="4"/>
        <v>1329.4000000000003</v>
      </c>
      <c r="AB17" s="5">
        <f t="shared" si="5"/>
        <v>11831.9</v>
      </c>
    </row>
    <row r="18" spans="1:28" x14ac:dyDescent="0.35">
      <c r="A18" s="3">
        <v>46169</v>
      </c>
      <c r="B18" s="4">
        <v>76.099999999999994</v>
      </c>
      <c r="C18" s="4">
        <f t="shared" si="0"/>
        <v>76.882769230769242</v>
      </c>
      <c r="D18" s="4">
        <f t="shared" si="3"/>
        <v>75.44210526315787</v>
      </c>
      <c r="E18" s="4">
        <f t="shared" si="1"/>
        <v>76.098046973622886</v>
      </c>
      <c r="F18" s="4" t="str">
        <f>IFERROR(AVERAGE(INDEX(B:B,(ROW()-1)*7+1):INDEX(B:B,ROW()*7)),"")</f>
        <v/>
      </c>
      <c r="G18" s="4" t="str">
        <f t="shared" si="2"/>
        <v/>
      </c>
      <c r="H18" s="18" t="str" cm="1">
        <f t="array" ref="H18">IF(INDEX($B:$B,1+7*ROWS($H$1:H18))="","",INDEX($B:$B,1+7*(ROWS($H$1:H18)-1))-INDEX($B:$B,1+7*ROWS($H$1:H18)))</f>
        <v/>
      </c>
      <c r="I18" s="5">
        <f t="array" ref="I18:J18">LINEST(D1:INDEX(D:D,COUNT(D:D)))</f>
        <v>-0.22976400281323286</v>
      </c>
      <c r="J18" s="20">
        <v>80.233799024261074</v>
      </c>
      <c r="S18" s="17"/>
      <c r="AA18" s="5">
        <f t="shared" si="4"/>
        <v>1405.5000000000002</v>
      </c>
      <c r="AB18" s="5">
        <f t="shared" si="5"/>
        <v>13201.699999999999</v>
      </c>
    </row>
    <row r="19" spans="1:28" x14ac:dyDescent="0.35">
      <c r="A19" s="3">
        <v>46170</v>
      </c>
      <c r="B19" s="4">
        <v>76.7</v>
      </c>
      <c r="C19" s="4">
        <f t="shared" si="0"/>
        <v>76.712273504273512</v>
      </c>
      <c r="D19" s="4">
        <f t="shared" si="3"/>
        <v>75.436842105263082</v>
      </c>
      <c r="E19" s="4">
        <f t="shared" si="1"/>
        <v>75.868282970809645</v>
      </c>
      <c r="F19" s="4" t="str">
        <f>IFERROR(AVERAGE(INDEX(B:B,(ROW()-1)*7+1):INDEX(B:B,ROW()*7)),"")</f>
        <v/>
      </c>
      <c r="G19" s="4" t="str">
        <f t="shared" si="2"/>
        <v/>
      </c>
      <c r="H19" s="18" t="str" cm="1">
        <f t="array" ref="H19">IF(INDEX($B:$B,1+7*ROWS($H$1:H19))="","",INDEX($B:$B,1+7*(ROWS($H$1:H19)-1))-INDEX($B:$B,1+7*ROWS($H$1:H19)))</f>
        <v/>
      </c>
      <c r="S19" s="17"/>
      <c r="AA19" s="5">
        <f t="shared" si="4"/>
        <v>1482.2000000000003</v>
      </c>
      <c r="AB19" s="5">
        <f t="shared" si="5"/>
        <v>14658.999999999998</v>
      </c>
    </row>
    <row r="20" spans="1:28" x14ac:dyDescent="0.35">
      <c r="A20" s="3">
        <v>46171</v>
      </c>
      <c r="B20" s="4">
        <v>76.3</v>
      </c>
      <c r="C20" s="4">
        <f t="shared" si="0"/>
        <v>76.541777777777781</v>
      </c>
      <c r="D20" s="4">
        <f t="shared" si="3"/>
        <v>75.364285714285657</v>
      </c>
      <c r="E20" s="4">
        <f t="shared" si="1"/>
        <v>75.638518967996418</v>
      </c>
      <c r="F20" s="4" t="str">
        <f>IFERROR(AVERAGE(INDEX(B:B,(ROW()-1)*7+1):INDEX(B:B,ROW()*7)),"")</f>
        <v/>
      </c>
      <c r="G20" s="4" t="str">
        <f t="shared" si="2"/>
        <v/>
      </c>
      <c r="H20" s="18" t="str" cm="1">
        <f t="array" ref="H20">IF(INDEX($B:$B,1+7*ROWS($H$1:H20))="","",INDEX($B:$B,1+7*(ROWS($H$1:H20)-1))-INDEX($B:$B,1+7*ROWS($H$1:H20)))</f>
        <v/>
      </c>
      <c r="I20" s="65" t="s">
        <v>131</v>
      </c>
      <c r="J20" s="65"/>
      <c r="S20" s="17"/>
      <c r="AA20" s="5">
        <f t="shared" si="4"/>
        <v>1558.5000000000002</v>
      </c>
      <c r="AB20" s="5">
        <f t="shared" si="5"/>
        <v>16184.999999999998</v>
      </c>
    </row>
    <row r="21" spans="1:28" x14ac:dyDescent="0.35">
      <c r="A21" s="3">
        <v>46172</v>
      </c>
      <c r="B21" s="4">
        <v>75.900000000000006</v>
      </c>
      <c r="C21" s="4">
        <f t="shared" si="0"/>
        <v>76.371282051282051</v>
      </c>
      <c r="D21" s="4">
        <f t="shared" si="3"/>
        <v>75.237662337662286</v>
      </c>
      <c r="E21" s="4">
        <f t="shared" si="1"/>
        <v>75.408754965183178</v>
      </c>
      <c r="F21" s="4" t="str">
        <f>IFERROR(AVERAGE(INDEX(B:B,(ROW()-1)*7+1):INDEX(B:B,ROW()*7)),"")</f>
        <v/>
      </c>
      <c r="G21" s="4" t="str">
        <f t="shared" si="2"/>
        <v/>
      </c>
      <c r="H21" s="18" t="str" cm="1">
        <f t="array" ref="H21">IF(INDEX($B:$B,1+7*ROWS($H$1:H21))="","",INDEX($B:$B,1+7*(ROWS($H$1:H21)-1))-INDEX($B:$B,1+7*ROWS($H$1:H21)))</f>
        <v/>
      </c>
      <c r="I21" s="5">
        <f t="array" ref="I21:J21">LINEST(F1:INDEX(F:F,COUNT(F:F)))</f>
        <v>-1.0014285714285736</v>
      </c>
      <c r="J21" s="5">
        <v>80.100000000000009</v>
      </c>
      <c r="S21" s="17"/>
      <c r="AA21" s="5">
        <f t="shared" si="4"/>
        <v>1634.4000000000003</v>
      </c>
      <c r="AB21" s="5">
        <f t="shared" si="5"/>
        <v>17778.899999999998</v>
      </c>
    </row>
    <row r="22" spans="1:28" x14ac:dyDescent="0.35">
      <c r="A22" s="19">
        <v>46173</v>
      </c>
      <c r="B22" s="4">
        <v>76.3</v>
      </c>
      <c r="C22" s="4">
        <f t="shared" si="0"/>
        <v>76.200786324786336</v>
      </c>
      <c r="D22" s="4">
        <f t="shared" si="3"/>
        <v>75.203162055335895</v>
      </c>
      <c r="E22" s="4">
        <f t="shared" si="1"/>
        <v>75.178990962369951</v>
      </c>
      <c r="F22" s="4" t="str">
        <f>IFERROR(AVERAGE(INDEX(B:B,(ROW()-1)*7+1):INDEX(B:B,ROW()*7)),"")</f>
        <v/>
      </c>
      <c r="G22" s="4" t="str">
        <f t="shared" si="2"/>
        <v/>
      </c>
      <c r="H22" s="18" t="str" cm="1">
        <f t="array" ref="H22">IF(INDEX($B:$B,1+7*ROWS($H$1:H22))="","",INDEX($B:$B,1+7*(ROWS($H$1:H22)-1))-INDEX($B:$B,1+7*ROWS($H$1:H22)))</f>
        <v/>
      </c>
      <c r="S22" s="17"/>
      <c r="AA22" s="5">
        <f t="shared" si="4"/>
        <v>1710.7000000000003</v>
      </c>
      <c r="AB22" s="5">
        <f t="shared" si="5"/>
        <v>19457.499999999996</v>
      </c>
    </row>
    <row r="23" spans="1:28" x14ac:dyDescent="0.35">
      <c r="A23" s="3">
        <v>46174</v>
      </c>
      <c r="B23" s="4">
        <v>77.599999999999994</v>
      </c>
      <c r="C23" s="4">
        <f t="shared" si="0"/>
        <v>76.030290598290605</v>
      </c>
      <c r="D23" s="4">
        <f t="shared" si="3"/>
        <v>75.39021739130429</v>
      </c>
      <c r="E23" s="4">
        <f t="shared" si="1"/>
        <v>74.949226959556725</v>
      </c>
      <c r="F23" s="4" t="str">
        <f>IFERROR(AVERAGE(INDEX(B:B,(ROW()-1)*7+1):INDEX(B:B,ROW()*7)),"")</f>
        <v/>
      </c>
      <c r="G23" s="4" t="str">
        <f t="shared" si="2"/>
        <v/>
      </c>
      <c r="H23" s="18" t="str" cm="1">
        <f t="array" ref="H23">IF(INDEX($B:$B,1+7*ROWS($H$1:H23))="","",INDEX($B:$B,1+7*(ROWS($H$1:H23)-1))-INDEX($B:$B,1+7*ROWS($H$1:H23)))</f>
        <v/>
      </c>
      <c r="S23" s="17"/>
      <c r="AA23" s="5">
        <f t="shared" si="4"/>
        <v>1788.3000000000002</v>
      </c>
      <c r="AB23" s="5">
        <f t="shared" si="5"/>
        <v>21242.299999999996</v>
      </c>
    </row>
    <row r="24" spans="1:28" x14ac:dyDescent="0.35">
      <c r="A24" s="3">
        <v>46175</v>
      </c>
      <c r="B24" s="4">
        <v>77.599999999999994</v>
      </c>
      <c r="C24" s="4">
        <f t="shared" si="0"/>
        <v>75.859794871794875</v>
      </c>
      <c r="D24" s="4">
        <f t="shared" si="3"/>
        <v>75.555333333333309</v>
      </c>
      <c r="E24" s="4">
        <f t="shared" si="1"/>
        <v>74.719462956743484</v>
      </c>
      <c r="F24" s="4" t="str">
        <f>IFERROR(AVERAGE(INDEX(B:B,(ROW()-1)*7+1):INDEX(B:B,ROW()*7)),"")</f>
        <v/>
      </c>
      <c r="G24" s="4" t="str">
        <f t="shared" si="2"/>
        <v/>
      </c>
      <c r="H24" s="18" t="str" cm="1">
        <f t="array" ref="H24">IF(INDEX($B:$B,1+7*ROWS($H$1:H24))="","",INDEX($B:$B,1+7*(ROWS($H$1:H24)-1))-INDEX($B:$B,1+7*ROWS($H$1:H24)))</f>
        <v/>
      </c>
      <c r="S24" s="17"/>
      <c r="AA24" s="5">
        <f t="shared" si="4"/>
        <v>1865.9</v>
      </c>
      <c r="AB24" s="5">
        <f t="shared" si="5"/>
        <v>23104.699999999997</v>
      </c>
    </row>
    <row r="25" spans="1:28" x14ac:dyDescent="0.35">
      <c r="A25" s="3">
        <v>46176</v>
      </c>
      <c r="B25" s="4">
        <v>76.900000000000006</v>
      </c>
      <c r="C25" s="4">
        <f t="shared" si="0"/>
        <v>75.689299145299145</v>
      </c>
      <c r="D25" s="4">
        <f t="shared" si="3"/>
        <v>75.596307692307661</v>
      </c>
      <c r="E25" s="4">
        <f t="shared" si="1"/>
        <v>74.489698953930258</v>
      </c>
      <c r="F25" s="4" t="str">
        <f>IFERROR(AVERAGE(INDEX(B:B,(ROW()-1)*7+1):INDEX(B:B,ROW()*7)),"")</f>
        <v/>
      </c>
      <c r="G25" s="4" t="str">
        <f t="shared" si="2"/>
        <v/>
      </c>
      <c r="H25" s="18" t="str" cm="1">
        <f t="array" ref="H25">IF(INDEX($B:$B,1+7*ROWS($H$1:H25))="","",INDEX($B:$B,1+7*(ROWS($H$1:H25)-1))-INDEX($B:$B,1+7*ROWS($H$1:H25)))</f>
        <v/>
      </c>
      <c r="S25" s="17"/>
      <c r="AA25" s="5">
        <f t="shared" si="4"/>
        <v>1942.8000000000002</v>
      </c>
      <c r="AB25" s="5">
        <f t="shared" si="5"/>
        <v>25027.199999999997</v>
      </c>
    </row>
    <row r="26" spans="1:28" x14ac:dyDescent="0.35">
      <c r="A26" s="3">
        <v>46177</v>
      </c>
      <c r="B26" s="4">
        <v>76.099999999999994</v>
      </c>
      <c r="C26" s="4">
        <f t="shared" si="0"/>
        <v>75.518803418803429</v>
      </c>
      <c r="D26" s="4">
        <f t="shared" si="3"/>
        <v>75.518803418803401</v>
      </c>
      <c r="E26" s="4">
        <f t="shared" si="1"/>
        <v>74.259934951117017</v>
      </c>
      <c r="F26" s="4" t="str">
        <f>IFERROR(AVERAGE(INDEX(B:B,(ROW()-1)*7+1):INDEX(B:B,ROW()*7)),"")</f>
        <v/>
      </c>
      <c r="G26" s="4" t="str">
        <f t="shared" si="2"/>
        <v/>
      </c>
      <c r="H26" s="18" t="str" cm="1">
        <f t="array" ref="H26">IF(INDEX($B:$B,1+7*ROWS($H$1:H26))="","",INDEX($B:$B,1+7*(ROWS($H$1:H26)-1))-INDEX($B:$B,1+7*ROWS($H$1:H26)))</f>
        <v/>
      </c>
      <c r="S26" s="17"/>
      <c r="AA26" s="5">
        <f t="shared" si="4"/>
        <v>2018.9</v>
      </c>
      <c r="AB26" s="5">
        <f t="shared" si="5"/>
        <v>27005.799999999996</v>
      </c>
    </row>
    <row r="27" spans="1:28" x14ac:dyDescent="0.35">
      <c r="A27" s="3">
        <v>46178</v>
      </c>
      <c r="C27" s="4" t="str">
        <f t="shared" si="0"/>
        <v/>
      </c>
      <c r="D27" s="4" t="str">
        <f t="shared" si="3"/>
        <v/>
      </c>
      <c r="E27" s="4" t="str">
        <f t="shared" si="1"/>
        <v/>
      </c>
      <c r="F27" s="4" t="str">
        <f>IFERROR(AVERAGE(INDEX(B:B,(ROW()-1)*7+1):INDEX(B:B,ROW()*7)),"")</f>
        <v/>
      </c>
      <c r="G27" s="4" t="str">
        <f t="shared" si="2"/>
        <v/>
      </c>
      <c r="H27" s="18" t="str" cm="1">
        <f t="array" ref="H27">IF(INDEX($B:$B,1+7*ROWS($H$1:H27))="","",INDEX($B:$B,1+7*(ROWS($H$1:H27)-1))-INDEX($B:$B,1+7*ROWS($H$1:H27)))</f>
        <v/>
      </c>
      <c r="S27" s="17"/>
      <c r="AA27" s="5" t="str">
        <f t="shared" si="4"/>
        <v/>
      </c>
      <c r="AB27" s="5" t="str">
        <f t="shared" si="5"/>
        <v/>
      </c>
    </row>
    <row r="28" spans="1:28" x14ac:dyDescent="0.35">
      <c r="A28" s="3">
        <v>46179</v>
      </c>
      <c r="C28" s="4" t="str">
        <f t="shared" si="0"/>
        <v/>
      </c>
      <c r="D28" s="4" t="str">
        <f t="shared" si="3"/>
        <v/>
      </c>
      <c r="E28" s="4" t="str">
        <f t="shared" si="1"/>
        <v/>
      </c>
      <c r="F28" s="4" t="str">
        <f>IFERROR(AVERAGE(INDEX(B:B,(ROW()-1)*7+1):INDEX(B:B,ROW()*7)),"")</f>
        <v/>
      </c>
      <c r="G28" s="4" t="str">
        <f t="shared" si="2"/>
        <v/>
      </c>
      <c r="H28" s="18" t="str" cm="1">
        <f t="array" ref="H28">IF(INDEX($B:$B,1+7*ROWS($H$1:H28))="","",INDEX($B:$B,1+7*(ROWS($H$1:H28)-1))-INDEX($B:$B,1+7*ROWS($H$1:H28)))</f>
        <v/>
      </c>
      <c r="S28" s="17"/>
      <c r="AA28" s="5" t="str">
        <f t="shared" si="4"/>
        <v/>
      </c>
      <c r="AB28" s="5" t="str">
        <f t="shared" si="5"/>
        <v/>
      </c>
    </row>
    <row r="29" spans="1:28" x14ac:dyDescent="0.35">
      <c r="A29" s="19">
        <v>46180</v>
      </c>
      <c r="C29" s="4" t="str">
        <f t="shared" si="0"/>
        <v/>
      </c>
      <c r="D29" s="4" t="str">
        <f t="shared" si="3"/>
        <v/>
      </c>
      <c r="E29" s="4" t="str">
        <f t="shared" si="1"/>
        <v/>
      </c>
      <c r="F29" s="4" t="str">
        <f>IFERROR(AVERAGE(INDEX(B:B,(ROW()-1)*7+1):INDEX(B:B,ROW()*7)),"")</f>
        <v/>
      </c>
      <c r="G29" s="4" t="str">
        <f t="shared" si="2"/>
        <v/>
      </c>
      <c r="H29" s="18" t="str" cm="1">
        <f t="array" ref="H29">IF(INDEX($B:$B,1+7*ROWS($H$1:H29))="","",INDEX($B:$B,1+7*(ROWS($H$1:H29)-1))-INDEX($B:$B,1+7*ROWS($H$1:H29)))</f>
        <v/>
      </c>
      <c r="S29" s="17"/>
      <c r="AA29" s="5" t="str">
        <f t="shared" si="4"/>
        <v/>
      </c>
      <c r="AB29" s="5" t="str">
        <f t="shared" si="5"/>
        <v/>
      </c>
    </row>
    <row r="30" spans="1:28" x14ac:dyDescent="0.35">
      <c r="A30" s="3">
        <v>46181</v>
      </c>
      <c r="C30" s="4" t="str">
        <f t="shared" si="0"/>
        <v/>
      </c>
      <c r="D30" s="4" t="str">
        <f t="shared" si="3"/>
        <v/>
      </c>
      <c r="E30" s="4" t="str">
        <f t="shared" si="1"/>
        <v/>
      </c>
      <c r="F30" s="4" t="str">
        <f>IFERROR(AVERAGE(INDEX(B:B,(ROW()-1)*7+1):INDEX(B:B,ROW()*7)),"")</f>
        <v/>
      </c>
      <c r="G30" s="4" t="str">
        <f t="shared" si="2"/>
        <v/>
      </c>
      <c r="H30" s="18" t="str" cm="1">
        <f t="array" ref="H30">IF(INDEX($B:$B,1+7*ROWS($H$1:H30))="","",INDEX($B:$B,1+7*(ROWS($H$1:H30)-1))-INDEX($B:$B,1+7*ROWS($H$1:H30)))</f>
        <v/>
      </c>
      <c r="S30" s="17"/>
      <c r="AA30" s="5" t="str">
        <f t="shared" si="4"/>
        <v/>
      </c>
      <c r="AB30" s="5" t="str">
        <f t="shared" si="5"/>
        <v/>
      </c>
    </row>
    <row r="31" spans="1:28" x14ac:dyDescent="0.35">
      <c r="A31" s="3">
        <v>46182</v>
      </c>
      <c r="C31" s="4" t="str">
        <f t="shared" si="0"/>
        <v/>
      </c>
      <c r="D31" s="4" t="str">
        <f t="shared" si="3"/>
        <v/>
      </c>
      <c r="E31" s="4" t="str">
        <f t="shared" si="1"/>
        <v/>
      </c>
      <c r="F31" s="4" t="str">
        <f>IFERROR(AVERAGE(INDEX(B:B,(ROW()-1)*7+1):INDEX(B:B,ROW()*7)),"")</f>
        <v/>
      </c>
      <c r="G31" s="4" t="str">
        <f t="shared" si="2"/>
        <v/>
      </c>
      <c r="H31" s="18" t="str" cm="1">
        <f t="array" ref="H31">IF(INDEX($B:$B,1+7*ROWS($H$1:H31))="","",INDEX($B:$B,1+7*(ROWS($H$1:H31)-1))-INDEX($B:$B,1+7*ROWS($H$1:H31)))</f>
        <v/>
      </c>
      <c r="S31" s="17"/>
      <c r="AA31" s="5" t="str">
        <f t="shared" si="4"/>
        <v/>
      </c>
      <c r="AB31" s="5" t="str">
        <f t="shared" si="5"/>
        <v/>
      </c>
    </row>
    <row r="32" spans="1:28" x14ac:dyDescent="0.35">
      <c r="A32" s="3">
        <v>46183</v>
      </c>
      <c r="C32" s="4" t="str">
        <f t="shared" si="0"/>
        <v/>
      </c>
      <c r="D32" s="4" t="str">
        <f t="shared" si="3"/>
        <v/>
      </c>
      <c r="E32" s="4" t="str">
        <f t="shared" si="1"/>
        <v/>
      </c>
      <c r="F32" s="4" t="str">
        <f>IFERROR(AVERAGE(INDEX(B:B,(ROW()-1)*7+1):INDEX(B:B,ROW()*7)),"")</f>
        <v/>
      </c>
      <c r="G32" s="4" t="str">
        <f t="shared" si="2"/>
        <v/>
      </c>
      <c r="H32" s="18" t="str" cm="1">
        <f t="array" ref="H32">IF(INDEX($B:$B,1+7*ROWS($H$1:H32))="","",INDEX($B:$B,1+7*(ROWS($H$1:H32)-1))-INDEX($B:$B,1+7*ROWS($H$1:H32)))</f>
        <v/>
      </c>
      <c r="S32" s="17"/>
      <c r="AA32" s="5" t="str">
        <f t="shared" si="4"/>
        <v/>
      </c>
      <c r="AB32" s="5" t="str">
        <f t="shared" si="5"/>
        <v/>
      </c>
    </row>
    <row r="33" spans="1:28" x14ac:dyDescent="0.35">
      <c r="A33" s="3">
        <v>46184</v>
      </c>
      <c r="C33" s="4" t="str">
        <f t="shared" si="0"/>
        <v/>
      </c>
      <c r="D33" s="4" t="str">
        <f t="shared" si="3"/>
        <v/>
      </c>
      <c r="E33" s="4" t="str">
        <f t="shared" si="1"/>
        <v/>
      </c>
      <c r="F33" s="4" t="str">
        <f>IFERROR(AVERAGE(INDEX(B:B,(ROW()-1)*7+1):INDEX(B:B,ROW()*7)),"")</f>
        <v/>
      </c>
      <c r="G33" s="4" t="str">
        <f t="shared" si="2"/>
        <v/>
      </c>
      <c r="H33" s="18" t="str" cm="1">
        <f t="array" ref="H33">IF(INDEX($B:$B,1+7*ROWS($H$1:H33))="","",INDEX($B:$B,1+7*(ROWS($H$1:H33)-1))-INDEX($B:$B,1+7*ROWS($H$1:H33)))</f>
        <v/>
      </c>
      <c r="S33" s="17"/>
      <c r="AA33" s="5" t="str">
        <f t="shared" si="4"/>
        <v/>
      </c>
      <c r="AB33" s="5" t="str">
        <f t="shared" si="5"/>
        <v/>
      </c>
    </row>
    <row r="34" spans="1:28" x14ac:dyDescent="0.35">
      <c r="A34" s="3">
        <v>46185</v>
      </c>
      <c r="C34" s="4" t="str">
        <f t="shared" si="0"/>
        <v/>
      </c>
      <c r="D34" s="4" t="str">
        <f t="shared" si="3"/>
        <v/>
      </c>
      <c r="E34" s="4" t="str">
        <f t="shared" si="1"/>
        <v/>
      </c>
      <c r="F34" s="4" t="str">
        <f>IFERROR(AVERAGE(INDEX(B:B,(ROW()-1)*7+1):INDEX(B:B,ROW()*7)),"")</f>
        <v/>
      </c>
      <c r="G34" s="4" t="str">
        <f t="shared" si="2"/>
        <v/>
      </c>
      <c r="H34" s="18" t="str" cm="1">
        <f t="array" ref="H34">IF(INDEX($B:$B,1+7*ROWS($H$1:H34))="","",INDEX($B:$B,1+7*(ROWS($H$1:H34)-1))-INDEX($B:$B,1+7*ROWS($H$1:H34)))</f>
        <v/>
      </c>
      <c r="S34" s="17"/>
      <c r="AA34" s="5" t="str">
        <f t="shared" si="4"/>
        <v/>
      </c>
      <c r="AB34" s="5" t="str">
        <f t="shared" si="5"/>
        <v/>
      </c>
    </row>
    <row r="35" spans="1:28" x14ac:dyDescent="0.35">
      <c r="A35" s="3">
        <v>46186</v>
      </c>
      <c r="C35" s="4" t="str">
        <f t="shared" si="0"/>
        <v/>
      </c>
      <c r="D35" s="4" t="str">
        <f t="shared" si="3"/>
        <v/>
      </c>
      <c r="E35" s="4" t="str">
        <f t="shared" si="1"/>
        <v/>
      </c>
      <c r="F35" s="4" t="str">
        <f>IFERROR(AVERAGE(INDEX(B:B,(ROW()-1)*7+1):INDEX(B:B,ROW()*7)),"")</f>
        <v/>
      </c>
      <c r="G35" s="4" t="str">
        <f t="shared" si="2"/>
        <v/>
      </c>
      <c r="H35" s="18" t="str" cm="1">
        <f t="array" ref="H35">IF(INDEX($B:$B,1+7*ROWS($H$1:H35))="","",INDEX($B:$B,1+7*(ROWS($H$1:H35)-1))-INDEX($B:$B,1+7*ROWS($H$1:H35)))</f>
        <v/>
      </c>
      <c r="S35" s="17"/>
      <c r="AA35" s="5" t="str">
        <f t="shared" si="4"/>
        <v/>
      </c>
      <c r="AB35" s="5" t="str">
        <f t="shared" si="5"/>
        <v/>
      </c>
    </row>
    <row r="36" spans="1:28" x14ac:dyDescent="0.35">
      <c r="A36" s="19">
        <v>46187</v>
      </c>
      <c r="C36" s="4" t="str">
        <f t="shared" si="0"/>
        <v/>
      </c>
      <c r="D36" s="4" t="str">
        <f t="shared" si="3"/>
        <v/>
      </c>
      <c r="E36" s="4" t="str">
        <f t="shared" si="1"/>
        <v/>
      </c>
      <c r="F36" s="4" t="str">
        <f>IFERROR(AVERAGE(INDEX(B:B,(ROW()-1)*7+1):INDEX(B:B,ROW()*7)),"")</f>
        <v/>
      </c>
      <c r="G36" s="4" t="str">
        <f t="shared" si="2"/>
        <v/>
      </c>
      <c r="H36" s="18" t="str" cm="1">
        <f t="array" ref="H36">IF(INDEX($B:$B,1+7*ROWS($H$1:H36))="","",INDEX($B:$B,1+7*(ROWS($H$1:H36)-1))-INDEX($B:$B,1+7*ROWS($H$1:H36)))</f>
        <v/>
      </c>
      <c r="S36" s="17"/>
      <c r="AA36" s="5" t="str">
        <f t="shared" si="4"/>
        <v/>
      </c>
      <c r="AB36" s="5" t="str">
        <f t="shared" si="5"/>
        <v/>
      </c>
    </row>
    <row r="37" spans="1:28" x14ac:dyDescent="0.35">
      <c r="A37" s="3">
        <v>46188</v>
      </c>
      <c r="C37" s="4" t="str">
        <f t="shared" si="0"/>
        <v/>
      </c>
      <c r="D37" s="4" t="str">
        <f t="shared" si="3"/>
        <v/>
      </c>
      <c r="E37" s="4" t="str">
        <f t="shared" si="1"/>
        <v/>
      </c>
      <c r="F37" s="4" t="str">
        <f>IFERROR(AVERAGE(INDEX(B:B,(ROW()-1)*7+1):INDEX(B:B,ROW()*7)),"")</f>
        <v/>
      </c>
      <c r="G37" s="4" t="str">
        <f t="shared" si="2"/>
        <v/>
      </c>
      <c r="H37" s="18" t="str" cm="1">
        <f t="array" ref="H37">IF(INDEX($B:$B,1+7*ROWS($H$1:H37))="","",INDEX($B:$B,1+7*(ROWS($H$1:H37)-1))-INDEX($B:$B,1+7*ROWS($H$1:H37)))</f>
        <v/>
      </c>
      <c r="S37" s="17"/>
      <c r="AA37" s="5" t="str">
        <f t="shared" si="4"/>
        <v/>
      </c>
      <c r="AB37" s="5" t="str">
        <f t="shared" si="5"/>
        <v/>
      </c>
    </row>
    <row r="38" spans="1:28" x14ac:dyDescent="0.35">
      <c r="A38" s="3">
        <v>46189</v>
      </c>
      <c r="C38" s="4" t="str">
        <f t="shared" si="0"/>
        <v/>
      </c>
      <c r="D38" s="4" t="str">
        <f t="shared" si="3"/>
        <v/>
      </c>
      <c r="E38" s="4" t="str">
        <f t="shared" si="1"/>
        <v/>
      </c>
      <c r="F38" s="4" t="str">
        <f>IFERROR(AVERAGE(INDEX(B:B,(ROW()-1)*7+1):INDEX(B:B,ROW()*7)),"")</f>
        <v/>
      </c>
      <c r="G38" s="4" t="str">
        <f t="shared" si="2"/>
        <v/>
      </c>
      <c r="H38" s="18" t="str" cm="1">
        <f t="array" ref="H38">IF(INDEX($B:$B,1+7*ROWS($H$1:H38))="","",INDEX($B:$B,1+7*(ROWS($H$1:H38)-1))-INDEX($B:$B,1+7*ROWS($H$1:H38)))</f>
        <v/>
      </c>
      <c r="S38" s="17"/>
      <c r="AA38" s="5" t="str">
        <f t="shared" si="4"/>
        <v/>
      </c>
      <c r="AB38" s="5" t="str">
        <f t="shared" si="5"/>
        <v/>
      </c>
    </row>
    <row r="39" spans="1:28" x14ac:dyDescent="0.35">
      <c r="A39" s="3">
        <v>46190</v>
      </c>
      <c r="C39" s="4" t="str">
        <f t="shared" si="0"/>
        <v/>
      </c>
      <c r="D39" s="4" t="str">
        <f t="shared" si="3"/>
        <v/>
      </c>
      <c r="E39" s="4" t="str">
        <f t="shared" si="1"/>
        <v/>
      </c>
      <c r="F39" s="4" t="str">
        <f>IFERROR(AVERAGE(INDEX(B:B,(ROW()-1)*7+1):INDEX(B:B,ROW()*7)),"")</f>
        <v/>
      </c>
      <c r="G39" s="4" t="str">
        <f t="shared" si="2"/>
        <v/>
      </c>
      <c r="H39" s="18" t="str" cm="1">
        <f t="array" ref="H39">IF(INDEX($B:$B,1+7*ROWS($H$1:H39))="","",INDEX($B:$B,1+7*(ROWS($H$1:H39)-1))-INDEX($B:$B,1+7*ROWS($H$1:H39)))</f>
        <v/>
      </c>
      <c r="S39" s="17"/>
      <c r="AA39" s="5" t="str">
        <f t="shared" si="4"/>
        <v/>
      </c>
      <c r="AB39" s="5" t="str">
        <f t="shared" si="5"/>
        <v/>
      </c>
    </row>
    <row r="40" spans="1:28" x14ac:dyDescent="0.35">
      <c r="A40" s="3">
        <v>46191</v>
      </c>
      <c r="C40" s="4" t="str">
        <f t="shared" si="0"/>
        <v/>
      </c>
      <c r="D40" s="4" t="str">
        <f t="shared" si="3"/>
        <v/>
      </c>
      <c r="E40" s="4" t="str">
        <f t="shared" si="1"/>
        <v/>
      </c>
      <c r="F40" s="4" t="str">
        <f>IFERROR(AVERAGE(INDEX(B:B,(ROW()-1)*7+1):INDEX(B:B,ROW()*7)),"")</f>
        <v/>
      </c>
      <c r="G40" s="4" t="str">
        <f t="shared" si="2"/>
        <v/>
      </c>
      <c r="H40" s="18" t="str" cm="1">
        <f t="array" ref="H40">IF(INDEX($B:$B,1+7*ROWS($H$1:H40))="","",INDEX($B:$B,1+7*(ROWS($H$1:H40)-1))-INDEX($B:$B,1+7*ROWS($H$1:H40)))</f>
        <v/>
      </c>
      <c r="S40" s="17"/>
      <c r="AA40" s="5" t="str">
        <f t="shared" si="4"/>
        <v/>
      </c>
      <c r="AB40" s="5" t="str">
        <f t="shared" si="5"/>
        <v/>
      </c>
    </row>
    <row r="41" spans="1:28" x14ac:dyDescent="0.35">
      <c r="A41" s="3">
        <v>46192</v>
      </c>
      <c r="C41" s="4" t="str">
        <f t="shared" si="0"/>
        <v/>
      </c>
      <c r="D41" s="4" t="str">
        <f t="shared" si="3"/>
        <v/>
      </c>
      <c r="E41" s="4" t="str">
        <f t="shared" si="1"/>
        <v/>
      </c>
      <c r="F41" s="4" t="str">
        <f>IFERROR(AVERAGE(INDEX(B:B,(ROW()-1)*7+1):INDEX(B:B,ROW()*7)),"")</f>
        <v/>
      </c>
      <c r="G41" s="4" t="str">
        <f t="shared" si="2"/>
        <v/>
      </c>
      <c r="H41" s="18" t="str" cm="1">
        <f t="array" ref="H41">IF(INDEX($B:$B,1+7*ROWS($H$1:H41))="","",INDEX($B:$B,1+7*(ROWS($H$1:H41)-1))-INDEX($B:$B,1+7*ROWS($H$1:H41)))</f>
        <v/>
      </c>
      <c r="S41" s="17"/>
      <c r="AA41" s="5" t="str">
        <f t="shared" si="4"/>
        <v/>
      </c>
      <c r="AB41" s="5" t="str">
        <f t="shared" si="5"/>
        <v/>
      </c>
    </row>
    <row r="42" spans="1:28" x14ac:dyDescent="0.35">
      <c r="A42" s="3">
        <v>46193</v>
      </c>
      <c r="C42" s="4" t="str">
        <f t="shared" si="0"/>
        <v/>
      </c>
      <c r="D42" s="4" t="str">
        <f t="shared" si="3"/>
        <v/>
      </c>
      <c r="E42" s="4" t="str">
        <f t="shared" si="1"/>
        <v/>
      </c>
      <c r="F42" s="4" t="str">
        <f>IFERROR(AVERAGE(INDEX(B:B,(ROW()-1)*7+1):INDEX(B:B,ROW()*7)),"")</f>
        <v/>
      </c>
      <c r="G42" s="4" t="str">
        <f t="shared" si="2"/>
        <v/>
      </c>
      <c r="H42" s="18" t="str" cm="1">
        <f t="array" ref="H42">IF(INDEX($B:$B,1+7*ROWS($H$1:H42))="","",INDEX($B:$B,1+7*(ROWS($H$1:H42)-1))-INDEX($B:$B,1+7*ROWS($H$1:H42)))</f>
        <v/>
      </c>
      <c r="S42" s="17"/>
      <c r="AA42" s="5" t="str">
        <f t="shared" si="4"/>
        <v/>
      </c>
      <c r="AB42" s="5" t="str">
        <f t="shared" si="5"/>
        <v/>
      </c>
    </row>
    <row r="43" spans="1:28" x14ac:dyDescent="0.35">
      <c r="A43" s="19">
        <v>46194</v>
      </c>
      <c r="C43" s="4" t="str">
        <f t="shared" si="0"/>
        <v/>
      </c>
      <c r="D43" s="4" t="str">
        <f t="shared" si="3"/>
        <v/>
      </c>
      <c r="E43" s="4" t="str">
        <f t="shared" si="1"/>
        <v/>
      </c>
      <c r="F43" s="4" t="str">
        <f>IFERROR(AVERAGE(INDEX(B:B,(ROW()-1)*7+1):INDEX(B:B,ROW()*7)),"")</f>
        <v/>
      </c>
      <c r="G43" s="4" t="str">
        <f t="shared" si="2"/>
        <v/>
      </c>
      <c r="H43" s="18" t="str" cm="1">
        <f t="array" ref="H43">IF(INDEX($B:$B,1+7*ROWS($H$1:H43))="","",INDEX($B:$B,1+7*(ROWS($H$1:H43)-1))-INDEX($B:$B,1+7*ROWS($H$1:H43)))</f>
        <v/>
      </c>
      <c r="S43" s="17"/>
      <c r="AA43" s="5" t="str">
        <f t="shared" si="4"/>
        <v/>
      </c>
      <c r="AB43" s="5" t="str">
        <f t="shared" si="5"/>
        <v/>
      </c>
    </row>
    <row r="44" spans="1:28" x14ac:dyDescent="0.35">
      <c r="A44" s="3"/>
      <c r="C44" s="4" t="str">
        <f t="shared" si="0"/>
        <v/>
      </c>
      <c r="D44" s="4" t="str">
        <f t="shared" si="3"/>
        <v/>
      </c>
      <c r="E44" s="4" t="str">
        <f t="shared" si="1"/>
        <v/>
      </c>
      <c r="F44" s="4" t="str">
        <f>IFERROR(AVERAGE(INDEX(B:B,(ROW()-1)*7+1):INDEX(B:B,ROW()*7)),"")</f>
        <v/>
      </c>
      <c r="G44" s="4" t="str">
        <f t="shared" si="2"/>
        <v/>
      </c>
      <c r="H44" s="18" t="str" cm="1">
        <f t="array" ref="H44">IF(INDEX($B:$B,1+7*ROWS($H$1:H44))="","",INDEX($B:$B,1+7*(ROWS($H$1:H44)-1))-INDEX($B:$B,1+7*ROWS($H$1:H44)))</f>
        <v/>
      </c>
      <c r="AA44" s="5" t="str">
        <f t="shared" si="4"/>
        <v/>
      </c>
      <c r="AB44" s="5" t="str">
        <f t="shared" si="5"/>
        <v/>
      </c>
    </row>
    <row r="45" spans="1:28" x14ac:dyDescent="0.35">
      <c r="A45" s="3"/>
      <c r="C45" s="4" t="str">
        <f t="shared" si="0"/>
        <v/>
      </c>
      <c r="D45" s="4" t="str">
        <f t="shared" si="3"/>
        <v/>
      </c>
      <c r="E45" s="4" t="str">
        <f t="shared" si="1"/>
        <v/>
      </c>
      <c r="F45" s="4" t="str">
        <f>IFERROR(AVERAGE(INDEX(B:B,(ROW()-1)*7+1):INDEX(B:B,ROW()*7)),"")</f>
        <v/>
      </c>
      <c r="G45" s="4" t="str">
        <f t="shared" si="2"/>
        <v/>
      </c>
      <c r="H45" s="18" t="str" cm="1">
        <f t="array" ref="H45">IF(INDEX($B:$B,1+7*ROWS($H$1:H45))="","",INDEX($B:$B,1+7*(ROWS($H$1:H45)-1))-INDEX($B:$B,1+7*ROWS($H$1:H45)))</f>
        <v/>
      </c>
      <c r="AA45" s="5" t="str">
        <f t="shared" si="4"/>
        <v/>
      </c>
      <c r="AB45" s="5" t="str">
        <f t="shared" si="5"/>
        <v/>
      </c>
    </row>
    <row r="46" spans="1:28" x14ac:dyDescent="0.35">
      <c r="A46" s="3"/>
      <c r="C46" s="4" t="str">
        <f t="shared" si="0"/>
        <v/>
      </c>
      <c r="D46" s="4" t="str">
        <f t="shared" si="3"/>
        <v/>
      </c>
      <c r="E46" s="4" t="str">
        <f t="shared" si="1"/>
        <v/>
      </c>
      <c r="F46" s="4" t="str">
        <f>IFERROR(AVERAGE(INDEX(B:B,(ROW()-1)*7+1):INDEX(B:B,ROW()*7)),"")</f>
        <v/>
      </c>
      <c r="G46" s="4" t="str">
        <f t="shared" si="2"/>
        <v/>
      </c>
      <c r="H46" s="18" t="str" cm="1">
        <f t="array" ref="H46">IF(INDEX($B:$B,1+7*ROWS($H$1:H46))="","",INDEX($B:$B,1+7*(ROWS($H$1:H46)-1))-INDEX($B:$B,1+7*ROWS($H$1:H46)))</f>
        <v/>
      </c>
      <c r="AA46" s="5" t="str">
        <f t="shared" si="4"/>
        <v/>
      </c>
      <c r="AB46" s="5" t="str">
        <f t="shared" si="5"/>
        <v/>
      </c>
    </row>
    <row r="47" spans="1:28" x14ac:dyDescent="0.35">
      <c r="A47" s="3"/>
      <c r="C47" s="4" t="str">
        <f t="shared" si="0"/>
        <v/>
      </c>
      <c r="D47" s="4" t="str">
        <f t="shared" si="3"/>
        <v/>
      </c>
      <c r="E47" s="4" t="str">
        <f t="shared" si="1"/>
        <v/>
      </c>
      <c r="F47" s="4" t="str">
        <f>IFERROR(AVERAGE(INDEX(B:B,(ROW()-1)*7+1):INDEX(B:B,ROW()*7)),"")</f>
        <v/>
      </c>
      <c r="G47" s="4" t="str">
        <f t="shared" si="2"/>
        <v/>
      </c>
      <c r="H47" s="18" t="str" cm="1">
        <f t="array" ref="H47">IF(INDEX($B:$B,1+7*ROWS($H$1:H47))="","",INDEX($B:$B,1+7*(ROWS($H$1:H47)-1))-INDEX($B:$B,1+7*ROWS($H$1:H47)))</f>
        <v/>
      </c>
      <c r="AA47" s="5" t="str">
        <f t="shared" si="4"/>
        <v/>
      </c>
      <c r="AB47" s="5" t="str">
        <f t="shared" si="5"/>
        <v/>
      </c>
    </row>
    <row r="48" spans="1:28" x14ac:dyDescent="0.35">
      <c r="A48" s="3"/>
      <c r="C48" s="4" t="str">
        <f t="shared" si="0"/>
        <v/>
      </c>
      <c r="D48" s="4" t="str">
        <f t="shared" si="3"/>
        <v/>
      </c>
      <c r="E48" s="4" t="str">
        <f t="shared" si="1"/>
        <v/>
      </c>
      <c r="F48" s="4" t="str">
        <f>IFERROR(AVERAGE(INDEX(B:B,(ROW()-1)*7+1):INDEX(B:B,ROW()*7)),"")</f>
        <v/>
      </c>
      <c r="G48" s="4" t="str">
        <f t="shared" si="2"/>
        <v/>
      </c>
      <c r="H48" s="18" t="str" cm="1">
        <f t="array" ref="H48">IF(INDEX($B:$B,1+7*ROWS($H$1:H48))="","",INDEX($B:$B,1+7*(ROWS($H$1:H48)-1))-INDEX($B:$B,1+7*ROWS($H$1:H48)))</f>
        <v/>
      </c>
      <c r="AA48" s="5" t="str">
        <f t="shared" si="4"/>
        <v/>
      </c>
      <c r="AB48" s="5" t="str">
        <f t="shared" si="5"/>
        <v/>
      </c>
    </row>
    <row r="49" spans="1:28" x14ac:dyDescent="0.35">
      <c r="A49" s="3"/>
      <c r="C49" s="4" t="str">
        <f t="shared" si="0"/>
        <v/>
      </c>
      <c r="D49" s="4" t="str">
        <f t="shared" si="3"/>
        <v/>
      </c>
      <c r="E49" s="4" t="str">
        <f t="shared" si="1"/>
        <v/>
      </c>
      <c r="F49" s="4" t="str">
        <f>IFERROR(AVERAGE(INDEX(B:B,(ROW()-1)*7+1):INDEX(B:B,ROW()*7)),"")</f>
        <v/>
      </c>
      <c r="G49" s="4" t="str">
        <f t="shared" si="2"/>
        <v/>
      </c>
      <c r="H49" s="18" t="str" cm="1">
        <f t="array" ref="H49">IF(INDEX($B:$B,1+7*ROWS($H$1:H49))="","",INDEX($B:$B,1+7*(ROWS($H$1:H49)-1))-INDEX($B:$B,1+7*ROWS($H$1:H49)))</f>
        <v/>
      </c>
      <c r="AA49" s="5" t="str">
        <f t="shared" si="4"/>
        <v/>
      </c>
      <c r="AB49" s="5" t="str">
        <f t="shared" si="5"/>
        <v/>
      </c>
    </row>
    <row r="50" spans="1:28" x14ac:dyDescent="0.35">
      <c r="A50" s="19"/>
      <c r="C50" s="4" t="str">
        <f t="shared" si="0"/>
        <v/>
      </c>
      <c r="D50" s="4" t="str">
        <f t="shared" si="3"/>
        <v/>
      </c>
      <c r="E50" s="4" t="str">
        <f t="shared" si="1"/>
        <v/>
      </c>
      <c r="F50" s="4" t="str">
        <f>IFERROR(AVERAGE(INDEX(B:B,(ROW()-1)*7+1):INDEX(B:B,ROW()*7)),"")</f>
        <v/>
      </c>
      <c r="G50" s="4" t="str">
        <f t="shared" si="2"/>
        <v/>
      </c>
      <c r="H50" s="18" t="str" cm="1">
        <f t="array" ref="H50">IF(INDEX($B:$B,1+7*ROWS($H$1:H50))="","",INDEX($B:$B,1+7*(ROWS($H$1:H50)-1))-INDEX($B:$B,1+7*ROWS($H$1:H50)))</f>
        <v/>
      </c>
      <c r="AA50" s="5" t="str">
        <f t="shared" si="4"/>
        <v/>
      </c>
      <c r="AB50" s="5" t="str">
        <f t="shared" si="5"/>
        <v/>
      </c>
    </row>
    <row r="51" spans="1:28" x14ac:dyDescent="0.35">
      <c r="A51" s="3"/>
      <c r="C51" s="4" t="str">
        <f t="shared" si="0"/>
        <v/>
      </c>
      <c r="D51" s="4" t="str">
        <f t="shared" si="3"/>
        <v/>
      </c>
      <c r="E51" s="4" t="str">
        <f t="shared" si="1"/>
        <v/>
      </c>
      <c r="F51" s="4" t="str">
        <f>IFERROR(AVERAGE(INDEX(B:B,(ROW()-1)*7+1):INDEX(B:B,ROW()*7)),"")</f>
        <v/>
      </c>
      <c r="G51" s="4" t="str">
        <f t="shared" si="2"/>
        <v/>
      </c>
      <c r="H51" s="18" t="str" cm="1">
        <f t="array" ref="H51">IF(INDEX($B:$B,1+7*ROWS($H$1:H51))="","",INDEX($B:$B,1+7*(ROWS($H$1:H51)-1))-INDEX($B:$B,1+7*ROWS($H$1:H51)))</f>
        <v/>
      </c>
      <c r="AA51" s="5" t="str">
        <f t="shared" si="4"/>
        <v/>
      </c>
      <c r="AB51" s="5" t="str">
        <f t="shared" si="5"/>
        <v/>
      </c>
    </row>
    <row r="52" spans="1:28" x14ac:dyDescent="0.35">
      <c r="A52" s="3"/>
      <c r="C52" s="4" t="str">
        <f t="shared" si="0"/>
        <v/>
      </c>
      <c r="D52" s="4" t="str">
        <f t="shared" si="3"/>
        <v/>
      </c>
      <c r="E52" s="4" t="str">
        <f t="shared" si="1"/>
        <v/>
      </c>
      <c r="F52" s="4" t="str">
        <f>IFERROR(AVERAGE(INDEX(B:B,(ROW()-1)*7+1):INDEX(B:B,ROW()*7)),"")</f>
        <v/>
      </c>
      <c r="G52" s="4" t="str">
        <f t="shared" si="2"/>
        <v/>
      </c>
      <c r="H52" s="18" t="str" cm="1">
        <f t="array" ref="H52">IF(INDEX($B:$B,1+7*ROWS($H$1:H52))="","",INDEX($B:$B,1+7*(ROWS($H$1:H52)-1))-INDEX($B:$B,1+7*ROWS($H$1:H52)))</f>
        <v/>
      </c>
      <c r="AA52" s="5" t="str">
        <f t="shared" si="4"/>
        <v/>
      </c>
      <c r="AB52" s="5" t="str">
        <f t="shared" si="5"/>
        <v/>
      </c>
    </row>
    <row r="53" spans="1:28" x14ac:dyDescent="0.35">
      <c r="A53" s="3"/>
      <c r="C53" s="4" t="str">
        <f t="shared" si="0"/>
        <v/>
      </c>
      <c r="D53" s="4" t="str">
        <f t="shared" si="3"/>
        <v/>
      </c>
      <c r="E53" s="4" t="str">
        <f t="shared" si="1"/>
        <v/>
      </c>
      <c r="F53" s="4" t="str">
        <f>IFERROR(AVERAGE(INDEX(B:B,(ROW()-1)*7+1):INDEX(B:B,ROW()*7)),"")</f>
        <v/>
      </c>
      <c r="G53" s="4" t="str">
        <f t="shared" si="2"/>
        <v/>
      </c>
      <c r="H53" s="18" t="str" cm="1">
        <f t="array" ref="H53">IF(INDEX($B:$B,1+7*ROWS($H$1:H53))="","",INDEX($B:$B,1+7*(ROWS($H$1:H53)-1))-INDEX($B:$B,1+7*ROWS($H$1:H53)))</f>
        <v/>
      </c>
      <c r="AA53" s="5" t="str">
        <f t="shared" si="4"/>
        <v/>
      </c>
      <c r="AB53" s="5" t="str">
        <f t="shared" si="5"/>
        <v/>
      </c>
    </row>
    <row r="54" spans="1:28" x14ac:dyDescent="0.35">
      <c r="A54" s="3"/>
      <c r="C54" s="4" t="str">
        <f t="shared" si="0"/>
        <v/>
      </c>
      <c r="D54" s="4" t="str">
        <f t="shared" si="3"/>
        <v/>
      </c>
      <c r="E54" s="4" t="str">
        <f t="shared" si="1"/>
        <v/>
      </c>
      <c r="F54" s="4" t="str">
        <f>IFERROR(AVERAGE(INDEX(B:B,(ROW()-1)*7+1):INDEX(B:B,ROW()*7)),"")</f>
        <v/>
      </c>
      <c r="G54" s="4" t="str">
        <f t="shared" si="2"/>
        <v/>
      </c>
      <c r="H54" s="18" t="str" cm="1">
        <f t="array" ref="H54">IF(INDEX($B:$B,1+7*ROWS($H$1:H54))="","",INDEX($B:$B,1+7*(ROWS($H$1:H54)-1))-INDEX($B:$B,1+7*ROWS($H$1:H54)))</f>
        <v/>
      </c>
      <c r="AA54" s="5" t="str">
        <f t="shared" si="4"/>
        <v/>
      </c>
      <c r="AB54" s="5" t="str">
        <f t="shared" si="5"/>
        <v/>
      </c>
    </row>
    <row r="55" spans="1:28" x14ac:dyDescent="0.35">
      <c r="A55" s="3"/>
      <c r="C55" s="4" t="str">
        <f t="shared" si="0"/>
        <v/>
      </c>
      <c r="D55" s="4" t="str">
        <f t="shared" si="3"/>
        <v/>
      </c>
      <c r="E55" s="4" t="str">
        <f t="shared" si="1"/>
        <v/>
      </c>
      <c r="F55" s="4" t="str">
        <f>IFERROR(AVERAGE(INDEX(B:B,(ROW()-1)*7+1):INDEX(B:B,ROW()*7)),"")</f>
        <v/>
      </c>
      <c r="G55" s="4" t="str">
        <f t="shared" si="2"/>
        <v/>
      </c>
      <c r="H55" s="18" t="str" cm="1">
        <f t="array" ref="H55">IF(INDEX($B:$B,1+7*ROWS($H$1:H55))="","",INDEX($B:$B,1+7*(ROWS($H$1:H55)-1))-INDEX($B:$B,1+7*ROWS($H$1:H55)))</f>
        <v/>
      </c>
      <c r="AA55" s="5" t="str">
        <f t="shared" si="4"/>
        <v/>
      </c>
      <c r="AB55" s="5" t="str">
        <f t="shared" si="5"/>
        <v/>
      </c>
    </row>
    <row r="56" spans="1:28" x14ac:dyDescent="0.35">
      <c r="A56" s="3"/>
      <c r="C56" s="4" t="str">
        <f t="shared" si="0"/>
        <v/>
      </c>
      <c r="D56" s="4" t="str">
        <f t="shared" si="3"/>
        <v/>
      </c>
      <c r="E56" s="4" t="str">
        <f t="shared" si="1"/>
        <v/>
      </c>
      <c r="F56" s="4" t="str">
        <f>IFERROR(AVERAGE(INDEX(B:B,(ROW()-1)*7+1):INDEX(B:B,ROW()*7)),"")</f>
        <v/>
      </c>
      <c r="G56" s="4" t="str">
        <f t="shared" si="2"/>
        <v/>
      </c>
      <c r="H56" s="18" t="str" cm="1">
        <f t="array" ref="H56">IF(INDEX($B:$B,1+7*ROWS($H$1:H56))="","",INDEX($B:$B,1+7*(ROWS($H$1:H56)-1))-INDEX($B:$B,1+7*ROWS($H$1:H56)))</f>
        <v/>
      </c>
      <c r="AA56" s="5" t="str">
        <f t="shared" si="4"/>
        <v/>
      </c>
      <c r="AB56" s="5" t="str">
        <f t="shared" si="5"/>
        <v/>
      </c>
    </row>
    <row r="57" spans="1:28" x14ac:dyDescent="0.35">
      <c r="A57" s="19"/>
      <c r="C57" s="4" t="str">
        <f t="shared" si="0"/>
        <v/>
      </c>
      <c r="D57" s="4" t="str">
        <f t="shared" si="3"/>
        <v/>
      </c>
      <c r="E57" s="4" t="str">
        <f t="shared" si="1"/>
        <v/>
      </c>
      <c r="F57" s="4" t="str">
        <f>IFERROR(AVERAGE(INDEX(B:B,(ROW()-1)*7+1):INDEX(B:B,ROW()*7)),"")</f>
        <v/>
      </c>
      <c r="G57" s="4" t="str">
        <f t="shared" si="2"/>
        <v/>
      </c>
      <c r="H57" s="18" t="str" cm="1">
        <f t="array" ref="H57">IF(INDEX($B:$B,1+7*ROWS($H$1:H57))="","",INDEX($B:$B,1+7*(ROWS($H$1:H57)-1))-INDEX($B:$B,1+7*ROWS($H$1:H57)))</f>
        <v/>
      </c>
      <c r="AA57" s="5" t="str">
        <f t="shared" si="4"/>
        <v/>
      </c>
      <c r="AB57" s="5" t="str">
        <f t="shared" si="5"/>
        <v/>
      </c>
    </row>
    <row r="58" spans="1:28" x14ac:dyDescent="0.35">
      <c r="A58" s="3"/>
      <c r="C58" s="4" t="str">
        <f t="shared" si="0"/>
        <v/>
      </c>
      <c r="D58" s="4" t="str">
        <f t="shared" si="3"/>
        <v/>
      </c>
      <c r="E58" s="4" t="str">
        <f t="shared" si="1"/>
        <v/>
      </c>
      <c r="F58" s="4" t="str">
        <f>IFERROR(AVERAGE(INDEX(B:B,(ROW()-1)*7+1):INDEX(B:B,ROW()*7)),"")</f>
        <v/>
      </c>
      <c r="G58" s="4" t="str">
        <f t="shared" si="2"/>
        <v/>
      </c>
      <c r="H58" s="18" t="str" cm="1">
        <f t="array" ref="H58">IF(INDEX($B:$B,1+7*ROWS($H$1:H58))="","",INDEX($B:$B,1+7*(ROWS($H$1:H58)-1))-INDEX($B:$B,1+7*ROWS($H$1:H58)))</f>
        <v/>
      </c>
      <c r="AA58" s="5" t="str">
        <f t="shared" si="4"/>
        <v/>
      </c>
      <c r="AB58" s="5" t="str">
        <f t="shared" si="5"/>
        <v/>
      </c>
    </row>
    <row r="59" spans="1:28" x14ac:dyDescent="0.35">
      <c r="A59" s="3"/>
      <c r="C59" s="4" t="str">
        <f t="shared" si="0"/>
        <v/>
      </c>
      <c r="D59" s="4" t="str">
        <f t="shared" si="3"/>
        <v/>
      </c>
      <c r="E59" s="4" t="str">
        <f t="shared" si="1"/>
        <v/>
      </c>
      <c r="F59" s="4" t="str">
        <f>IFERROR(AVERAGE(INDEX(B:B,(ROW()-1)*7+1):INDEX(B:B,ROW()*7)),"")</f>
        <v/>
      </c>
      <c r="G59" s="4" t="str">
        <f t="shared" si="2"/>
        <v/>
      </c>
      <c r="H59" s="18" t="str" cm="1">
        <f t="array" ref="H59">IF(INDEX($B:$B,1+7*ROWS($H$1:H59))="","",INDEX($B:$B,1+7*(ROWS($H$1:H59)-1))-INDEX($B:$B,1+7*ROWS($H$1:H59)))</f>
        <v/>
      </c>
      <c r="AA59" s="5" t="str">
        <f t="shared" si="4"/>
        <v/>
      </c>
      <c r="AB59" s="5" t="str">
        <f t="shared" si="5"/>
        <v/>
      </c>
    </row>
    <row r="60" spans="1:28" x14ac:dyDescent="0.35">
      <c r="A60" s="3"/>
      <c r="C60" s="4" t="str">
        <f t="shared" si="0"/>
        <v/>
      </c>
      <c r="D60" s="4" t="str">
        <f t="shared" si="3"/>
        <v/>
      </c>
      <c r="E60" s="4" t="str">
        <f t="shared" si="1"/>
        <v/>
      </c>
      <c r="F60" s="4" t="str">
        <f>IFERROR(AVERAGE(INDEX(B:B,(ROW()-1)*7+1):INDEX(B:B,ROW()*7)),"")</f>
        <v/>
      </c>
      <c r="G60" s="4" t="str">
        <f t="shared" si="2"/>
        <v/>
      </c>
      <c r="H60" s="18" t="str" cm="1">
        <f t="array" ref="H60">IF(INDEX($B:$B,1+7*ROWS($H$1:H60))="","",INDEX($B:$B,1+7*(ROWS($H$1:H60)-1))-INDEX($B:$B,1+7*ROWS($H$1:H60)))</f>
        <v/>
      </c>
      <c r="AA60" s="5" t="str">
        <f t="shared" si="4"/>
        <v/>
      </c>
      <c r="AB60" s="5" t="str">
        <f t="shared" si="5"/>
        <v/>
      </c>
    </row>
    <row r="61" spans="1:28" x14ac:dyDescent="0.35">
      <c r="A61" s="3"/>
      <c r="C61" s="4" t="str">
        <f t="shared" si="0"/>
        <v/>
      </c>
      <c r="D61" s="4" t="str">
        <f t="shared" si="3"/>
        <v/>
      </c>
      <c r="E61" s="4" t="str">
        <f t="shared" si="1"/>
        <v/>
      </c>
      <c r="F61" s="4" t="str">
        <f>IFERROR(AVERAGE(INDEX(B:B,(ROW()-1)*7+1):INDEX(B:B,ROW()*7)),"")</f>
        <v/>
      </c>
      <c r="G61" s="4" t="str">
        <f t="shared" si="2"/>
        <v/>
      </c>
      <c r="H61" s="18" t="str" cm="1">
        <f t="array" ref="H61">IF(INDEX($B:$B,1+7*ROWS($H$1:H61))="","",INDEX($B:$B,1+7*(ROWS($H$1:H61)-1))-INDEX($B:$B,1+7*ROWS($H$1:H61)))</f>
        <v/>
      </c>
      <c r="AA61" s="5" t="str">
        <f t="shared" si="4"/>
        <v/>
      </c>
      <c r="AB61" s="5" t="str">
        <f t="shared" si="5"/>
        <v/>
      </c>
    </row>
    <row r="62" spans="1:28" x14ac:dyDescent="0.35">
      <c r="A62" s="3"/>
      <c r="C62" s="4" t="str">
        <f t="shared" si="0"/>
        <v/>
      </c>
      <c r="D62" s="4" t="str">
        <f t="shared" si="3"/>
        <v/>
      </c>
      <c r="E62" s="4" t="str">
        <f t="shared" si="1"/>
        <v/>
      </c>
      <c r="F62" s="4" t="str">
        <f>IFERROR(AVERAGE(INDEX(B:B,(ROW()-1)*7+1):INDEX(B:B,ROW()*7)),"")</f>
        <v/>
      </c>
      <c r="G62" s="4" t="str">
        <f t="shared" si="2"/>
        <v/>
      </c>
      <c r="H62" s="18" t="str" cm="1">
        <f t="array" ref="H62">IF(INDEX($B:$B,1+7*ROWS($H$1:H62))="","",INDEX($B:$B,1+7*(ROWS($H$1:H62)-1))-INDEX($B:$B,1+7*ROWS($H$1:H62)))</f>
        <v/>
      </c>
      <c r="AA62" s="5" t="str">
        <f t="shared" si="4"/>
        <v/>
      </c>
      <c r="AB62" s="5" t="str">
        <f t="shared" si="5"/>
        <v/>
      </c>
    </row>
    <row r="63" spans="1:28" x14ac:dyDescent="0.35">
      <c r="A63" s="3"/>
      <c r="C63" s="4" t="str">
        <f t="shared" si="0"/>
        <v/>
      </c>
      <c r="D63" s="4" t="str">
        <f t="shared" si="3"/>
        <v/>
      </c>
      <c r="E63" s="4" t="str">
        <f t="shared" si="1"/>
        <v/>
      </c>
      <c r="F63" s="4" t="str">
        <f>IFERROR(AVERAGE(INDEX(B:B,(ROW()-1)*7+1):INDEX(B:B,ROW()*7)),"")</f>
        <v/>
      </c>
      <c r="G63" s="4" t="str">
        <f t="shared" si="2"/>
        <v/>
      </c>
      <c r="H63" s="18" t="str" cm="1">
        <f t="array" ref="H63">IF(INDEX($B:$B,1+7*ROWS($H$1:H63))="","",INDEX($B:$B,1+7*(ROWS($H$1:H63)-1))-INDEX($B:$B,1+7*ROWS($H$1:H63)))</f>
        <v/>
      </c>
      <c r="AA63" s="5" t="str">
        <f t="shared" si="4"/>
        <v/>
      </c>
      <c r="AB63" s="5" t="str">
        <f t="shared" si="5"/>
        <v/>
      </c>
    </row>
    <row r="64" spans="1:28" x14ac:dyDescent="0.35">
      <c r="A64" s="19"/>
      <c r="C64" s="4" t="str">
        <f t="shared" si="0"/>
        <v/>
      </c>
      <c r="D64" s="4" t="str">
        <f t="shared" si="3"/>
        <v/>
      </c>
      <c r="E64" s="4" t="str">
        <f t="shared" si="1"/>
        <v/>
      </c>
      <c r="F64" s="4" t="str">
        <f>IFERROR(AVERAGE(INDEX(B:B,(ROW()-1)*7+1):INDEX(B:B,ROW()*7)),"")</f>
        <v/>
      </c>
      <c r="G64" s="4" t="str">
        <f t="shared" si="2"/>
        <v/>
      </c>
      <c r="H64" s="18" t="str" cm="1">
        <f t="array" ref="H64">IF(INDEX($B:$B,1+7*ROWS($H$1:H64))="","",INDEX($B:$B,1+7*(ROWS($H$1:H64)-1))-INDEX($B:$B,1+7*ROWS($H$1:H64)))</f>
        <v/>
      </c>
      <c r="AA64" s="5" t="str">
        <f t="shared" si="4"/>
        <v/>
      </c>
      <c r="AB64" s="5" t="str">
        <f t="shared" si="5"/>
        <v/>
      </c>
    </row>
    <row r="65" spans="1:28" x14ac:dyDescent="0.35">
      <c r="A65" s="3"/>
      <c r="C65" s="4" t="str">
        <f t="shared" ref="C65:C128" si="6">IF(B65="","",ROW()*$I$15+$J$15)</f>
        <v/>
      </c>
      <c r="D65" s="4" t="str">
        <f t="shared" si="3"/>
        <v/>
      </c>
      <c r="E65" s="4" t="str">
        <f t="shared" ref="E65:E128" si="7">IF(D65="","",ROW()*$I$18+$J$18)</f>
        <v/>
      </c>
      <c r="F65" s="4" t="str">
        <f>IFERROR(AVERAGE(INDEX(B:B,(ROW()-1)*7+1):INDEX(B:B,ROW()*7)),"")</f>
        <v/>
      </c>
      <c r="G65" s="4" t="str">
        <f t="shared" ref="G65:G128" si="8">IF(F65="","",ROW()*$I$21+$J$21)</f>
        <v/>
      </c>
      <c r="H65" s="18" t="str" cm="1">
        <f t="array" ref="H65">IF(INDEX($B:$B,1+7*ROWS($H$1:H65))="","",INDEX($B:$B,1+7*(ROWS($H$1:H65)-1))-INDEX($B:$B,1+7*ROWS($H$1:H65)))</f>
        <v/>
      </c>
      <c r="AA65" s="5" t="str">
        <f t="shared" si="4"/>
        <v/>
      </c>
      <c r="AB65" s="5" t="str">
        <f t="shared" si="5"/>
        <v/>
      </c>
    </row>
    <row r="66" spans="1:28" x14ac:dyDescent="0.35">
      <c r="A66" s="3"/>
      <c r="C66" s="4" t="str">
        <f t="shared" si="6"/>
        <v/>
      </c>
      <c r="D66" s="4" t="str">
        <f t="shared" ref="D66:D129" si="9">IF(B66="","",2*(3*AB66-(ROW()+1)*AA66)/(ROW()*(ROW()+1)))</f>
        <v/>
      </c>
      <c r="E66" s="4" t="str">
        <f t="shared" si="7"/>
        <v/>
      </c>
      <c r="F66" s="4" t="str">
        <f>IFERROR(AVERAGE(INDEX(B:B,(ROW()-1)*7+1):INDEX(B:B,ROW()*7)),"")</f>
        <v/>
      </c>
      <c r="G66" s="4" t="str">
        <f t="shared" si="8"/>
        <v/>
      </c>
      <c r="H66" s="18" t="str" cm="1">
        <f t="array" ref="H66">IF(INDEX($B:$B,1+7*ROWS($H$1:H66))="","",INDEX($B:$B,1+7*(ROWS($H$1:H66)-1))-INDEX($B:$B,1+7*ROWS($H$1:H66)))</f>
        <v/>
      </c>
      <c r="AA66" s="5" t="str">
        <f t="shared" ref="AA66:AA129" si="10">IF(B66="","",IF(AA65="",B66,AA65+B66))</f>
        <v/>
      </c>
      <c r="AB66" s="5" t="str">
        <f t="shared" ref="AB66:AB129" si="11">IF(B66="","",IF(AB65="",ROW()*B66,AB65+ROW()*B66))</f>
        <v/>
      </c>
    </row>
    <row r="67" spans="1:28" x14ac:dyDescent="0.35">
      <c r="A67" s="3"/>
      <c r="C67" s="4" t="str">
        <f t="shared" si="6"/>
        <v/>
      </c>
      <c r="D67" s="4" t="str">
        <f t="shared" si="9"/>
        <v/>
      </c>
      <c r="E67" s="4" t="str">
        <f t="shared" si="7"/>
        <v/>
      </c>
      <c r="F67" s="4" t="str">
        <f>IFERROR(AVERAGE(INDEX(B:B,(ROW()-1)*7+1):INDEX(B:B,ROW()*7)),"")</f>
        <v/>
      </c>
      <c r="G67" s="4" t="str">
        <f t="shared" si="8"/>
        <v/>
      </c>
      <c r="H67" s="18" t="str" cm="1">
        <f t="array" ref="H67">IF(INDEX($B:$B,1+7*ROWS($H$1:H67))="","",INDEX($B:$B,1+7*(ROWS($H$1:H67)-1))-INDEX($B:$B,1+7*ROWS($H$1:H67)))</f>
        <v/>
      </c>
      <c r="AA67" s="5" t="str">
        <f t="shared" si="10"/>
        <v/>
      </c>
      <c r="AB67" s="5" t="str">
        <f t="shared" si="11"/>
        <v/>
      </c>
    </row>
    <row r="68" spans="1:28" x14ac:dyDescent="0.35">
      <c r="A68" s="3"/>
      <c r="C68" s="4" t="str">
        <f t="shared" si="6"/>
        <v/>
      </c>
      <c r="D68" s="4" t="str">
        <f t="shared" si="9"/>
        <v/>
      </c>
      <c r="E68" s="4" t="str">
        <f t="shared" si="7"/>
        <v/>
      </c>
      <c r="F68" s="4" t="str">
        <f>IFERROR(AVERAGE(INDEX(B:B,(ROW()-1)*7+1):INDEX(B:B,ROW()*7)),"")</f>
        <v/>
      </c>
      <c r="G68" s="4" t="str">
        <f t="shared" si="8"/>
        <v/>
      </c>
      <c r="H68" s="18" t="str" cm="1">
        <f t="array" ref="H68">IF(INDEX($B:$B,1+7*ROWS($H$1:H68))="","",INDEX($B:$B,1+7*(ROWS($H$1:H68)-1))-INDEX($B:$B,1+7*ROWS($H$1:H68)))</f>
        <v/>
      </c>
      <c r="AA68" s="5" t="str">
        <f t="shared" si="10"/>
        <v/>
      </c>
      <c r="AB68" s="5" t="str">
        <f t="shared" si="11"/>
        <v/>
      </c>
    </row>
    <row r="69" spans="1:28" x14ac:dyDescent="0.35">
      <c r="A69" s="3"/>
      <c r="C69" s="4" t="str">
        <f t="shared" si="6"/>
        <v/>
      </c>
      <c r="D69" s="4" t="str">
        <f t="shared" si="9"/>
        <v/>
      </c>
      <c r="E69" s="4" t="str">
        <f t="shared" si="7"/>
        <v/>
      </c>
      <c r="F69" s="4" t="str">
        <f>IFERROR(AVERAGE(INDEX(B:B,(ROW()-1)*7+1):INDEX(B:B,ROW()*7)),"")</f>
        <v/>
      </c>
      <c r="G69" s="4" t="str">
        <f t="shared" si="8"/>
        <v/>
      </c>
      <c r="H69" s="18" t="str" cm="1">
        <f t="array" ref="H69">IF(INDEX($B:$B,1+7*ROWS($H$1:H69))="","",INDEX($B:$B,1+7*(ROWS($H$1:H69)-1))-INDEX($B:$B,1+7*ROWS($H$1:H69)))</f>
        <v/>
      </c>
      <c r="AA69" s="5" t="str">
        <f t="shared" si="10"/>
        <v/>
      </c>
      <c r="AB69" s="5" t="str">
        <f t="shared" si="11"/>
        <v/>
      </c>
    </row>
    <row r="70" spans="1:28" x14ac:dyDescent="0.35">
      <c r="A70" s="3"/>
      <c r="C70" s="4" t="str">
        <f t="shared" si="6"/>
        <v/>
      </c>
      <c r="D70" s="4" t="str">
        <f t="shared" si="9"/>
        <v/>
      </c>
      <c r="E70" s="4" t="str">
        <f t="shared" si="7"/>
        <v/>
      </c>
      <c r="F70" s="4" t="str">
        <f>IFERROR(AVERAGE(INDEX(B:B,(ROW()-1)*7+1):INDEX(B:B,ROW()*7)),"")</f>
        <v/>
      </c>
      <c r="G70" s="4" t="str">
        <f t="shared" si="8"/>
        <v/>
      </c>
      <c r="H70" s="18" t="str" cm="1">
        <f t="array" ref="H70">IF(INDEX($B:$B,1+7*ROWS($H$1:H70))="","",INDEX($B:$B,1+7*(ROWS($H$1:H70)-1))-INDEX($B:$B,1+7*ROWS($H$1:H70)))</f>
        <v/>
      </c>
      <c r="AA70" s="5" t="str">
        <f t="shared" si="10"/>
        <v/>
      </c>
      <c r="AB70" s="5" t="str">
        <f t="shared" si="11"/>
        <v/>
      </c>
    </row>
    <row r="71" spans="1:28" x14ac:dyDescent="0.35">
      <c r="A71" s="19"/>
      <c r="C71" s="4" t="str">
        <f t="shared" si="6"/>
        <v/>
      </c>
      <c r="D71" s="4" t="str">
        <f t="shared" si="9"/>
        <v/>
      </c>
      <c r="E71" s="4" t="str">
        <f t="shared" si="7"/>
        <v/>
      </c>
      <c r="F71" s="4" t="str">
        <f>IFERROR(AVERAGE(INDEX(B:B,(ROW()-1)*7+1):INDEX(B:B,ROW()*7)),"")</f>
        <v/>
      </c>
      <c r="G71" s="4" t="str">
        <f t="shared" si="8"/>
        <v/>
      </c>
      <c r="H71" s="18" t="str" cm="1">
        <f t="array" ref="H71">IF(INDEX($B:$B,1+7*ROWS($H$1:H71))="","",INDEX($B:$B,1+7*(ROWS($H$1:H71)-1))-INDEX($B:$B,1+7*ROWS($H$1:H71)))</f>
        <v/>
      </c>
      <c r="AA71" s="5" t="str">
        <f t="shared" si="10"/>
        <v/>
      </c>
      <c r="AB71" s="5" t="str">
        <f t="shared" si="11"/>
        <v/>
      </c>
    </row>
    <row r="72" spans="1:28" x14ac:dyDescent="0.35">
      <c r="A72" s="3"/>
      <c r="C72" s="4" t="str">
        <f t="shared" si="6"/>
        <v/>
      </c>
      <c r="D72" s="4" t="str">
        <f t="shared" si="9"/>
        <v/>
      </c>
      <c r="E72" s="4" t="str">
        <f t="shared" si="7"/>
        <v/>
      </c>
      <c r="F72" s="4" t="str">
        <f>IFERROR(AVERAGE(INDEX(B:B,(ROW()-1)*7+1):INDEX(B:B,ROW()*7)),"")</f>
        <v/>
      </c>
      <c r="G72" s="4" t="str">
        <f t="shared" si="8"/>
        <v/>
      </c>
      <c r="H72" s="18" t="str" cm="1">
        <f t="array" ref="H72">IF(INDEX($B:$B,1+7*ROWS($H$1:H72))="","",INDEX($B:$B,1+7*(ROWS($H$1:H72)-1))-INDEX($B:$B,1+7*ROWS($H$1:H72)))</f>
        <v/>
      </c>
      <c r="AA72" s="5" t="str">
        <f t="shared" si="10"/>
        <v/>
      </c>
      <c r="AB72" s="5" t="str">
        <f t="shared" si="11"/>
        <v/>
      </c>
    </row>
    <row r="73" spans="1:28" x14ac:dyDescent="0.35">
      <c r="A73" s="3"/>
      <c r="C73" s="4" t="str">
        <f t="shared" si="6"/>
        <v/>
      </c>
      <c r="D73" s="4" t="str">
        <f t="shared" si="9"/>
        <v/>
      </c>
      <c r="E73" s="4" t="str">
        <f t="shared" si="7"/>
        <v/>
      </c>
      <c r="F73" s="4" t="str">
        <f>IFERROR(AVERAGE(INDEX(B:B,(ROW()-1)*7+1):INDEX(B:B,ROW()*7)),"")</f>
        <v/>
      </c>
      <c r="G73" s="4" t="str">
        <f t="shared" si="8"/>
        <v/>
      </c>
      <c r="H73" s="18" t="str" cm="1">
        <f t="array" ref="H73">IF(INDEX($B:$B,1+7*ROWS($H$1:H73))="","",INDEX($B:$B,1+7*(ROWS($H$1:H73)-1))-INDEX($B:$B,1+7*ROWS($H$1:H73)))</f>
        <v/>
      </c>
      <c r="AA73" s="5" t="str">
        <f t="shared" si="10"/>
        <v/>
      </c>
      <c r="AB73" s="5" t="str">
        <f t="shared" si="11"/>
        <v/>
      </c>
    </row>
    <row r="74" spans="1:28" x14ac:dyDescent="0.35">
      <c r="A74" s="3"/>
      <c r="C74" s="4" t="str">
        <f t="shared" si="6"/>
        <v/>
      </c>
      <c r="D74" s="4" t="str">
        <f t="shared" si="9"/>
        <v/>
      </c>
      <c r="E74" s="4" t="str">
        <f t="shared" si="7"/>
        <v/>
      </c>
      <c r="F74" s="4" t="str">
        <f>IFERROR(AVERAGE(INDEX(B:B,(ROW()-1)*7+1):INDEX(B:B,ROW()*7)),"")</f>
        <v/>
      </c>
      <c r="G74" s="4" t="str">
        <f t="shared" si="8"/>
        <v/>
      </c>
      <c r="H74" s="18" t="str" cm="1">
        <f t="array" ref="H74">IF(INDEX($B:$B,1+7*ROWS($H$1:H74))="","",INDEX($B:$B,1+7*(ROWS($H$1:H74)-1))-INDEX($B:$B,1+7*ROWS($H$1:H74)))</f>
        <v/>
      </c>
      <c r="AA74" s="5" t="str">
        <f t="shared" si="10"/>
        <v/>
      </c>
      <c r="AB74" s="5" t="str">
        <f t="shared" si="11"/>
        <v/>
      </c>
    </row>
    <row r="75" spans="1:28" x14ac:dyDescent="0.35">
      <c r="A75" s="3"/>
      <c r="C75" s="4" t="str">
        <f t="shared" si="6"/>
        <v/>
      </c>
      <c r="D75" s="4" t="str">
        <f t="shared" si="9"/>
        <v/>
      </c>
      <c r="E75" s="4" t="str">
        <f t="shared" si="7"/>
        <v/>
      </c>
      <c r="F75" s="4" t="str">
        <f>IFERROR(AVERAGE(INDEX(B:B,(ROW()-1)*7+1):INDEX(B:B,ROW()*7)),"")</f>
        <v/>
      </c>
      <c r="G75" s="4" t="str">
        <f t="shared" si="8"/>
        <v/>
      </c>
      <c r="H75" s="18" t="str" cm="1">
        <f t="array" ref="H75">IF(INDEX($B:$B,1+7*ROWS($H$1:H75))="","",INDEX($B:$B,1+7*(ROWS($H$1:H75)-1))-INDEX($B:$B,1+7*ROWS($H$1:H75)))</f>
        <v/>
      </c>
      <c r="AA75" s="5" t="str">
        <f t="shared" si="10"/>
        <v/>
      </c>
      <c r="AB75" s="5" t="str">
        <f t="shared" si="11"/>
        <v/>
      </c>
    </row>
    <row r="76" spans="1:28" x14ac:dyDescent="0.35">
      <c r="A76" s="3"/>
      <c r="C76" s="4" t="str">
        <f t="shared" si="6"/>
        <v/>
      </c>
      <c r="D76" s="4" t="str">
        <f t="shared" si="9"/>
        <v/>
      </c>
      <c r="E76" s="4" t="str">
        <f t="shared" si="7"/>
        <v/>
      </c>
      <c r="F76" s="4" t="str">
        <f>IFERROR(AVERAGE(INDEX(B:B,(ROW()-1)*7+1):INDEX(B:B,ROW()*7)),"")</f>
        <v/>
      </c>
      <c r="G76" s="4" t="str">
        <f t="shared" si="8"/>
        <v/>
      </c>
      <c r="H76" s="18" t="str" cm="1">
        <f t="array" ref="H76">IF(INDEX($B:$B,1+7*ROWS($H$1:H76))="","",INDEX($B:$B,1+7*(ROWS($H$1:H76)-1))-INDEX($B:$B,1+7*ROWS($H$1:H76)))</f>
        <v/>
      </c>
      <c r="AA76" s="5" t="str">
        <f t="shared" si="10"/>
        <v/>
      </c>
      <c r="AB76" s="5" t="str">
        <f t="shared" si="11"/>
        <v/>
      </c>
    </row>
    <row r="77" spans="1:28" x14ac:dyDescent="0.35">
      <c r="A77" s="3"/>
      <c r="C77" s="4" t="str">
        <f t="shared" si="6"/>
        <v/>
      </c>
      <c r="D77" s="4" t="str">
        <f t="shared" si="9"/>
        <v/>
      </c>
      <c r="E77" s="4" t="str">
        <f t="shared" si="7"/>
        <v/>
      </c>
      <c r="F77" s="4" t="str">
        <f>IFERROR(AVERAGE(INDEX(B:B,(ROW()-1)*7+1):INDEX(B:B,ROW()*7)),"")</f>
        <v/>
      </c>
      <c r="G77" s="4" t="str">
        <f t="shared" si="8"/>
        <v/>
      </c>
      <c r="H77" s="18" t="str" cm="1">
        <f t="array" ref="H77">IF(INDEX($B:$B,1+7*ROWS($H$1:H77))="","",INDEX($B:$B,1+7*(ROWS($H$1:H77)-1))-INDEX($B:$B,1+7*ROWS($H$1:H77)))</f>
        <v/>
      </c>
      <c r="AA77" s="5" t="str">
        <f t="shared" si="10"/>
        <v/>
      </c>
      <c r="AB77" s="5" t="str">
        <f t="shared" si="11"/>
        <v/>
      </c>
    </row>
    <row r="78" spans="1:28" x14ac:dyDescent="0.35">
      <c r="A78" s="19"/>
      <c r="C78" s="4" t="str">
        <f t="shared" si="6"/>
        <v/>
      </c>
      <c r="D78" s="4" t="str">
        <f t="shared" si="9"/>
        <v/>
      </c>
      <c r="E78" s="4" t="str">
        <f t="shared" si="7"/>
        <v/>
      </c>
      <c r="F78" s="4" t="str">
        <f>IFERROR(AVERAGE(INDEX(B:B,(ROW()-1)*7+1):INDEX(B:B,ROW()*7)),"")</f>
        <v/>
      </c>
      <c r="G78" s="4" t="str">
        <f t="shared" si="8"/>
        <v/>
      </c>
      <c r="H78" s="18" t="str" cm="1">
        <f t="array" ref="H78">IF(INDEX($B:$B,1+7*ROWS($H$1:H78))="","",INDEX($B:$B,1+7*(ROWS($H$1:H78)-1))-INDEX($B:$B,1+7*ROWS($H$1:H78)))</f>
        <v/>
      </c>
      <c r="AA78" s="5" t="str">
        <f t="shared" si="10"/>
        <v/>
      </c>
      <c r="AB78" s="5" t="str">
        <f t="shared" si="11"/>
        <v/>
      </c>
    </row>
    <row r="79" spans="1:28" x14ac:dyDescent="0.35">
      <c r="A79" s="3"/>
      <c r="C79" s="4" t="str">
        <f t="shared" si="6"/>
        <v/>
      </c>
      <c r="D79" s="4" t="str">
        <f t="shared" si="9"/>
        <v/>
      </c>
      <c r="E79" s="4" t="str">
        <f t="shared" si="7"/>
        <v/>
      </c>
      <c r="F79" s="4" t="str">
        <f>IFERROR(AVERAGE(INDEX(B:B,(ROW()-1)*7+1):INDEX(B:B,ROW()*7)),"")</f>
        <v/>
      </c>
      <c r="G79" s="4" t="str">
        <f t="shared" si="8"/>
        <v/>
      </c>
      <c r="H79" s="18" t="str" cm="1">
        <f t="array" ref="H79">IF(INDEX($B:$B,1+7*ROWS($H$1:H79))="","",INDEX($B:$B,1+7*(ROWS($H$1:H79)-1))-INDEX($B:$B,1+7*ROWS($H$1:H79)))</f>
        <v/>
      </c>
      <c r="AA79" s="5" t="str">
        <f t="shared" si="10"/>
        <v/>
      </c>
      <c r="AB79" s="5" t="str">
        <f t="shared" si="11"/>
        <v/>
      </c>
    </row>
    <row r="80" spans="1:28" x14ac:dyDescent="0.35">
      <c r="A80" s="3"/>
      <c r="C80" s="4" t="str">
        <f t="shared" si="6"/>
        <v/>
      </c>
      <c r="D80" s="4" t="str">
        <f t="shared" si="9"/>
        <v/>
      </c>
      <c r="E80" s="4" t="str">
        <f t="shared" si="7"/>
        <v/>
      </c>
      <c r="F80" s="4" t="str">
        <f>IFERROR(AVERAGE(INDEX(B:B,(ROW()-1)*7+1):INDEX(B:B,ROW()*7)),"")</f>
        <v/>
      </c>
      <c r="G80" s="4" t="str">
        <f t="shared" si="8"/>
        <v/>
      </c>
      <c r="H80" s="18" t="str" cm="1">
        <f t="array" ref="H80">IF(INDEX($B:$B,1+7*ROWS($H$1:H80))="","",INDEX($B:$B,1+7*(ROWS($H$1:H80)-1))-INDEX($B:$B,1+7*ROWS($H$1:H80)))</f>
        <v/>
      </c>
      <c r="AA80" s="5" t="str">
        <f t="shared" si="10"/>
        <v/>
      </c>
      <c r="AB80" s="5" t="str">
        <f t="shared" si="11"/>
        <v/>
      </c>
    </row>
    <row r="81" spans="1:28" x14ac:dyDescent="0.35">
      <c r="A81" s="3"/>
      <c r="C81" s="4" t="str">
        <f t="shared" si="6"/>
        <v/>
      </c>
      <c r="D81" s="4" t="str">
        <f t="shared" si="9"/>
        <v/>
      </c>
      <c r="E81" s="4" t="str">
        <f t="shared" si="7"/>
        <v/>
      </c>
      <c r="F81" s="4" t="str">
        <f>IFERROR(AVERAGE(INDEX(B:B,(ROW()-1)*7+1):INDEX(B:B,ROW()*7)),"")</f>
        <v/>
      </c>
      <c r="G81" s="4" t="str">
        <f t="shared" si="8"/>
        <v/>
      </c>
      <c r="H81" s="18" t="str" cm="1">
        <f t="array" ref="H81">IF(INDEX($B:$B,1+7*ROWS($H$1:H81))="","",INDEX($B:$B,1+7*(ROWS($H$1:H81)-1))-INDEX($B:$B,1+7*ROWS($H$1:H81)))</f>
        <v/>
      </c>
      <c r="AA81" s="5" t="str">
        <f t="shared" si="10"/>
        <v/>
      </c>
      <c r="AB81" s="5" t="str">
        <f t="shared" si="11"/>
        <v/>
      </c>
    </row>
    <row r="82" spans="1:28" x14ac:dyDescent="0.35">
      <c r="A82" s="3"/>
      <c r="C82" s="4" t="str">
        <f t="shared" si="6"/>
        <v/>
      </c>
      <c r="D82" s="4" t="str">
        <f t="shared" si="9"/>
        <v/>
      </c>
      <c r="E82" s="4" t="str">
        <f t="shared" si="7"/>
        <v/>
      </c>
      <c r="F82" s="4" t="str">
        <f>IFERROR(AVERAGE(INDEX(B:B,(ROW()-1)*7+1):INDEX(B:B,ROW()*7)),"")</f>
        <v/>
      </c>
      <c r="G82" s="4" t="str">
        <f t="shared" si="8"/>
        <v/>
      </c>
      <c r="H82" s="18" t="str" cm="1">
        <f t="array" ref="H82">IF(INDEX($B:$B,1+7*ROWS($H$1:H82))="","",INDEX($B:$B,1+7*(ROWS($H$1:H82)-1))-INDEX($B:$B,1+7*ROWS($H$1:H82)))</f>
        <v/>
      </c>
      <c r="AA82" s="5" t="str">
        <f t="shared" si="10"/>
        <v/>
      </c>
      <c r="AB82" s="5" t="str">
        <f t="shared" si="11"/>
        <v/>
      </c>
    </row>
    <row r="83" spans="1:28" x14ac:dyDescent="0.35">
      <c r="A83" s="3"/>
      <c r="C83" s="4" t="str">
        <f t="shared" si="6"/>
        <v/>
      </c>
      <c r="D83" s="4" t="str">
        <f t="shared" si="9"/>
        <v/>
      </c>
      <c r="E83" s="4" t="str">
        <f t="shared" si="7"/>
        <v/>
      </c>
      <c r="F83" s="4" t="str">
        <f>IFERROR(AVERAGE(INDEX(B:B,(ROW()-1)*7+1):INDEX(B:B,ROW()*7)),"")</f>
        <v/>
      </c>
      <c r="G83" s="4" t="str">
        <f t="shared" si="8"/>
        <v/>
      </c>
      <c r="H83" s="18" t="str" cm="1">
        <f t="array" ref="H83">IF(INDEX($B:$B,1+7*ROWS($H$1:H83))="","",INDEX($B:$B,1+7*(ROWS($H$1:H83)-1))-INDEX($B:$B,1+7*ROWS($H$1:H83)))</f>
        <v/>
      </c>
      <c r="AA83" s="5" t="str">
        <f t="shared" si="10"/>
        <v/>
      </c>
      <c r="AB83" s="5" t="str">
        <f t="shared" si="11"/>
        <v/>
      </c>
    </row>
    <row r="84" spans="1:28" x14ac:dyDescent="0.35">
      <c r="A84" s="3"/>
      <c r="C84" s="4" t="str">
        <f t="shared" si="6"/>
        <v/>
      </c>
      <c r="D84" s="4" t="str">
        <f t="shared" si="9"/>
        <v/>
      </c>
      <c r="E84" s="4" t="str">
        <f t="shared" si="7"/>
        <v/>
      </c>
      <c r="F84" s="4" t="str">
        <f>IFERROR(AVERAGE(INDEX(B:B,(ROW()-1)*7+1):INDEX(B:B,ROW()*7)),"")</f>
        <v/>
      </c>
      <c r="G84" s="4" t="str">
        <f t="shared" si="8"/>
        <v/>
      </c>
      <c r="H84" s="18" t="str" cm="1">
        <f t="array" ref="H84">IF(INDEX($B:$B,1+7*ROWS($H$1:H84))="","",INDEX($B:$B,1+7*(ROWS($H$1:H84)-1))-INDEX($B:$B,1+7*ROWS($H$1:H84)))</f>
        <v/>
      </c>
      <c r="AA84" s="5" t="str">
        <f t="shared" si="10"/>
        <v/>
      </c>
      <c r="AB84" s="5" t="str">
        <f t="shared" si="11"/>
        <v/>
      </c>
    </row>
    <row r="85" spans="1:28" x14ac:dyDescent="0.35">
      <c r="A85" s="19"/>
      <c r="C85" s="4" t="str">
        <f t="shared" si="6"/>
        <v/>
      </c>
      <c r="D85" s="4" t="str">
        <f t="shared" si="9"/>
        <v/>
      </c>
      <c r="E85" s="4" t="str">
        <f t="shared" si="7"/>
        <v/>
      </c>
      <c r="F85" s="4" t="str">
        <f>IFERROR(AVERAGE(INDEX(B:B,(ROW()-1)*7+1):INDEX(B:B,ROW()*7)),"")</f>
        <v/>
      </c>
      <c r="G85" s="4" t="str">
        <f t="shared" si="8"/>
        <v/>
      </c>
      <c r="H85" s="18" t="str" cm="1">
        <f t="array" ref="H85">IF(INDEX($B:$B,1+7*ROWS($H$1:H85))="","",INDEX($B:$B,1+7*(ROWS($H$1:H85)-1))-INDEX($B:$B,1+7*ROWS($H$1:H85)))</f>
        <v/>
      </c>
      <c r="AA85" s="5" t="str">
        <f t="shared" si="10"/>
        <v/>
      </c>
      <c r="AB85" s="5" t="str">
        <f t="shared" si="11"/>
        <v/>
      </c>
    </row>
    <row r="86" spans="1:28" x14ac:dyDescent="0.35">
      <c r="A86" s="3"/>
      <c r="C86" s="4" t="str">
        <f t="shared" si="6"/>
        <v/>
      </c>
      <c r="D86" s="4" t="str">
        <f t="shared" si="9"/>
        <v/>
      </c>
      <c r="E86" s="4" t="str">
        <f t="shared" si="7"/>
        <v/>
      </c>
      <c r="F86" s="5" t="str">
        <f>IFERROR(AVERAGE(INDEX(B:B,(ROW()-1)*7+1):INDEX(B:B,ROW()*7)),"")</f>
        <v/>
      </c>
      <c r="G86" s="4" t="str">
        <f t="shared" si="8"/>
        <v/>
      </c>
      <c r="H86" s="18" t="str" cm="1">
        <f t="array" ref="H86">IF(INDEX($B:$B,1+7*ROWS($H$1:H86))="","",INDEX($B:$B,1+7*(ROWS($H$1:H86)-1))-INDEX($B:$B,1+7*ROWS($H$1:H86)))</f>
        <v/>
      </c>
      <c r="AA86" s="5" t="str">
        <f t="shared" si="10"/>
        <v/>
      </c>
      <c r="AB86" s="5" t="str">
        <f t="shared" si="11"/>
        <v/>
      </c>
    </row>
    <row r="87" spans="1:28" x14ac:dyDescent="0.35">
      <c r="A87" s="3"/>
      <c r="C87" s="4" t="str">
        <f t="shared" si="6"/>
        <v/>
      </c>
      <c r="D87" s="4" t="str">
        <f t="shared" si="9"/>
        <v/>
      </c>
      <c r="E87" s="4" t="str">
        <f t="shared" si="7"/>
        <v/>
      </c>
      <c r="F87" s="5" t="str">
        <f>IFERROR(AVERAGE(INDEX(B:B,(ROW()-1)*7+1):INDEX(B:B,ROW()*7)),"")</f>
        <v/>
      </c>
      <c r="G87" s="4" t="str">
        <f t="shared" si="8"/>
        <v/>
      </c>
      <c r="H87" s="18" t="str" cm="1">
        <f t="array" ref="H87">IF(INDEX($B:$B,1+7*ROWS($H$1:H87))="","",INDEX($B:$B,1+7*(ROWS($H$1:H87)-1))-INDEX($B:$B,1+7*ROWS($H$1:H87)))</f>
        <v/>
      </c>
      <c r="AA87" s="5" t="str">
        <f t="shared" si="10"/>
        <v/>
      </c>
      <c r="AB87" s="5" t="str">
        <f t="shared" si="11"/>
        <v/>
      </c>
    </row>
    <row r="88" spans="1:28" x14ac:dyDescent="0.35">
      <c r="A88" s="3"/>
      <c r="C88" s="4" t="str">
        <f t="shared" si="6"/>
        <v/>
      </c>
      <c r="D88" s="4" t="str">
        <f t="shared" si="9"/>
        <v/>
      </c>
      <c r="E88" s="4" t="str">
        <f t="shared" si="7"/>
        <v/>
      </c>
      <c r="F88" s="5" t="str">
        <f>IFERROR(AVERAGE(INDEX(B:B,(ROW()-1)*7+1):INDEX(B:B,ROW()*7)),"")</f>
        <v/>
      </c>
      <c r="G88" s="4" t="str">
        <f t="shared" si="8"/>
        <v/>
      </c>
      <c r="H88" s="18" t="str" cm="1">
        <f t="array" ref="H88">IF(INDEX($B:$B,1+7*ROWS($H$1:H88))="","",INDEX($B:$B,1+7*(ROWS($H$1:H88)-1))-INDEX($B:$B,1+7*ROWS($H$1:H88)))</f>
        <v/>
      </c>
      <c r="AA88" s="5" t="str">
        <f t="shared" si="10"/>
        <v/>
      </c>
      <c r="AB88" s="5" t="str">
        <f t="shared" si="11"/>
        <v/>
      </c>
    </row>
    <row r="89" spans="1:28" x14ac:dyDescent="0.35">
      <c r="A89" s="3"/>
      <c r="C89" s="4" t="str">
        <f t="shared" si="6"/>
        <v/>
      </c>
      <c r="D89" s="4" t="str">
        <f t="shared" si="9"/>
        <v/>
      </c>
      <c r="E89" s="4" t="str">
        <f t="shared" si="7"/>
        <v/>
      </c>
      <c r="F89" s="5" t="str">
        <f>IFERROR(AVERAGE(INDEX(B:B,(ROW()-1)*7+1):INDEX(B:B,ROW()*7)),"")</f>
        <v/>
      </c>
      <c r="G89" s="4" t="str">
        <f t="shared" si="8"/>
        <v/>
      </c>
      <c r="H89" s="18" t="str" cm="1">
        <f t="array" ref="H89">IF(INDEX($B:$B,1+7*ROWS($H$1:H89))="","",INDEX($B:$B,1+7*(ROWS($H$1:H89)-1))-INDEX($B:$B,1+7*ROWS($H$1:H89)))</f>
        <v/>
      </c>
      <c r="AA89" s="5" t="str">
        <f t="shared" si="10"/>
        <v/>
      </c>
      <c r="AB89" s="5" t="str">
        <f t="shared" si="11"/>
        <v/>
      </c>
    </row>
    <row r="90" spans="1:28" x14ac:dyDescent="0.35">
      <c r="A90" s="3"/>
      <c r="C90" s="4" t="str">
        <f t="shared" si="6"/>
        <v/>
      </c>
      <c r="D90" s="4" t="str">
        <f t="shared" si="9"/>
        <v/>
      </c>
      <c r="E90" s="4" t="str">
        <f t="shared" si="7"/>
        <v/>
      </c>
      <c r="F90" s="5" t="str">
        <f>IFERROR(AVERAGE(INDEX(B:B,(ROW()-1)*7+1):INDEX(B:B,ROW()*7)),"")</f>
        <v/>
      </c>
      <c r="G90" s="4" t="str">
        <f t="shared" si="8"/>
        <v/>
      </c>
      <c r="H90" s="18" t="str" cm="1">
        <f t="array" ref="H90">IF(INDEX($B:$B,1+7*ROWS($H$1:H90))="","",INDEX($B:$B,1+7*(ROWS($H$1:H90)-1))-INDEX($B:$B,1+7*ROWS($H$1:H90)))</f>
        <v/>
      </c>
      <c r="AA90" s="5" t="str">
        <f t="shared" si="10"/>
        <v/>
      </c>
      <c r="AB90" s="5" t="str">
        <f t="shared" si="11"/>
        <v/>
      </c>
    </row>
    <row r="91" spans="1:28" x14ac:dyDescent="0.35">
      <c r="A91" s="3"/>
      <c r="C91" s="4" t="str">
        <f t="shared" si="6"/>
        <v/>
      </c>
      <c r="D91" s="4" t="str">
        <f t="shared" si="9"/>
        <v/>
      </c>
      <c r="E91" s="4" t="str">
        <f t="shared" si="7"/>
        <v/>
      </c>
      <c r="F91" s="5" t="str">
        <f>IFERROR(AVERAGE(INDEX(B:B,(ROW()-1)*7+1):INDEX(B:B,ROW()*7)),"")</f>
        <v/>
      </c>
      <c r="G91" s="4" t="str">
        <f t="shared" si="8"/>
        <v/>
      </c>
      <c r="H91" s="18" t="str" cm="1">
        <f t="array" ref="H91">IF(INDEX($B:$B,1+7*ROWS($H$1:H91))="","",INDEX($B:$B,1+7*(ROWS($H$1:H91)-1))-INDEX($B:$B,1+7*ROWS($H$1:H91)))</f>
        <v/>
      </c>
      <c r="AA91" s="5" t="str">
        <f t="shared" si="10"/>
        <v/>
      </c>
      <c r="AB91" s="5" t="str">
        <f t="shared" si="11"/>
        <v/>
      </c>
    </row>
    <row r="92" spans="1:28" x14ac:dyDescent="0.35">
      <c r="A92" s="19"/>
      <c r="C92" s="4" t="str">
        <f t="shared" si="6"/>
        <v/>
      </c>
      <c r="D92" s="4" t="str">
        <f t="shared" si="9"/>
        <v/>
      </c>
      <c r="E92" s="4" t="str">
        <f t="shared" si="7"/>
        <v/>
      </c>
      <c r="F92" s="5" t="str">
        <f>IFERROR(AVERAGE(INDEX(B:B,(ROW()-1)*7+1):INDEX(B:B,ROW()*7)),"")</f>
        <v/>
      </c>
      <c r="G92" s="4" t="str">
        <f t="shared" si="8"/>
        <v/>
      </c>
      <c r="H92" s="18" t="str" cm="1">
        <f t="array" ref="H92">IF(INDEX($B:$B,1+7*ROWS($H$1:H92))="","",INDEX($B:$B,1+7*(ROWS($H$1:H92)-1))-INDEX($B:$B,1+7*ROWS($H$1:H92)))</f>
        <v/>
      </c>
      <c r="AA92" s="5" t="str">
        <f t="shared" si="10"/>
        <v/>
      </c>
      <c r="AB92" s="5" t="str">
        <f t="shared" si="11"/>
        <v/>
      </c>
    </row>
    <row r="93" spans="1:28" x14ac:dyDescent="0.35">
      <c r="A93" s="3"/>
      <c r="C93" s="4" t="str">
        <f t="shared" si="6"/>
        <v/>
      </c>
      <c r="D93" s="4" t="str">
        <f t="shared" si="9"/>
        <v/>
      </c>
      <c r="E93" s="4" t="str">
        <f t="shared" si="7"/>
        <v/>
      </c>
      <c r="F93" s="5" t="str">
        <f>IFERROR(AVERAGE(INDEX(B:B,(ROW()-1)*7+1):INDEX(B:B,ROW()*7)),"")</f>
        <v/>
      </c>
      <c r="G93" s="4" t="str">
        <f t="shared" si="8"/>
        <v/>
      </c>
      <c r="H93" s="18" t="str" cm="1">
        <f t="array" ref="H93">IF(INDEX($B:$B,1+7*ROWS($H$1:H93))="","",INDEX($B:$B,1+7*(ROWS($H$1:H93)-1))-INDEX($B:$B,1+7*ROWS($H$1:H93)))</f>
        <v/>
      </c>
      <c r="AA93" s="5" t="str">
        <f t="shared" si="10"/>
        <v/>
      </c>
      <c r="AB93" s="5" t="str">
        <f t="shared" si="11"/>
        <v/>
      </c>
    </row>
    <row r="94" spans="1:28" x14ac:dyDescent="0.35">
      <c r="A94" s="3"/>
      <c r="C94" s="4" t="str">
        <f t="shared" si="6"/>
        <v/>
      </c>
      <c r="D94" s="4" t="str">
        <f t="shared" si="9"/>
        <v/>
      </c>
      <c r="E94" s="4" t="str">
        <f t="shared" si="7"/>
        <v/>
      </c>
      <c r="F94" s="5" t="str">
        <f>IFERROR(AVERAGE(INDEX(B:B,(ROW()-1)*7+1):INDEX(B:B,ROW()*7)),"")</f>
        <v/>
      </c>
      <c r="G94" s="4" t="str">
        <f t="shared" si="8"/>
        <v/>
      </c>
      <c r="H94" s="18" t="str" cm="1">
        <f t="array" ref="H94">IF(INDEX($B:$B,1+7*ROWS($H$1:H94))="","",INDEX($B:$B,1+7*(ROWS($H$1:H94)-1))-INDEX($B:$B,1+7*ROWS($H$1:H94)))</f>
        <v/>
      </c>
      <c r="AA94" s="5" t="str">
        <f t="shared" si="10"/>
        <v/>
      </c>
      <c r="AB94" s="5" t="str">
        <f t="shared" si="11"/>
        <v/>
      </c>
    </row>
    <row r="95" spans="1:28" x14ac:dyDescent="0.35">
      <c r="A95" s="3"/>
      <c r="C95" s="4" t="str">
        <f t="shared" si="6"/>
        <v/>
      </c>
      <c r="D95" s="4" t="str">
        <f t="shared" si="9"/>
        <v/>
      </c>
      <c r="E95" s="4" t="str">
        <f t="shared" si="7"/>
        <v/>
      </c>
      <c r="F95" s="5" t="str">
        <f>IFERROR(AVERAGE(INDEX(B:B,(ROW()-1)*7+1):INDEX(B:B,ROW()*7)),"")</f>
        <v/>
      </c>
      <c r="G95" s="4" t="str">
        <f t="shared" si="8"/>
        <v/>
      </c>
      <c r="H95" s="18" t="str" cm="1">
        <f t="array" ref="H95">IF(INDEX($B:$B,1+7*ROWS($H$1:H95))="","",INDEX($B:$B,1+7*(ROWS($H$1:H95)-1))-INDEX($B:$B,1+7*ROWS($H$1:H95)))</f>
        <v/>
      </c>
      <c r="AA95" s="5" t="str">
        <f t="shared" si="10"/>
        <v/>
      </c>
      <c r="AB95" s="5" t="str">
        <f t="shared" si="11"/>
        <v/>
      </c>
    </row>
    <row r="96" spans="1:28" x14ac:dyDescent="0.35">
      <c r="A96" s="3"/>
      <c r="C96" s="4" t="str">
        <f t="shared" si="6"/>
        <v/>
      </c>
      <c r="D96" s="4" t="str">
        <f t="shared" si="9"/>
        <v/>
      </c>
      <c r="E96" s="4" t="str">
        <f t="shared" si="7"/>
        <v/>
      </c>
      <c r="F96" s="5" t="str">
        <f>IFERROR(AVERAGE(INDEX(B:B,(ROW()-1)*7+1):INDEX(B:B,ROW()*7)),"")</f>
        <v/>
      </c>
      <c r="G96" s="4" t="str">
        <f t="shared" si="8"/>
        <v/>
      </c>
      <c r="H96" s="18" t="str" cm="1">
        <f t="array" ref="H96">IF(INDEX($B:$B,1+7*ROWS($H$1:H96))="","",INDEX($B:$B,1+7*(ROWS($H$1:H96)-1))-INDEX($B:$B,1+7*ROWS($H$1:H96)))</f>
        <v/>
      </c>
      <c r="AA96" s="5" t="str">
        <f t="shared" si="10"/>
        <v/>
      </c>
      <c r="AB96" s="5" t="str">
        <f t="shared" si="11"/>
        <v/>
      </c>
    </row>
    <row r="97" spans="1:28" x14ac:dyDescent="0.35">
      <c r="A97" s="3"/>
      <c r="C97" s="4" t="str">
        <f t="shared" si="6"/>
        <v/>
      </c>
      <c r="D97" s="4" t="str">
        <f t="shared" si="9"/>
        <v/>
      </c>
      <c r="E97" s="4" t="str">
        <f t="shared" si="7"/>
        <v/>
      </c>
      <c r="F97" s="5" t="str">
        <f>IFERROR(AVERAGE(INDEX(B:B,(ROW()-1)*7+1):INDEX(B:B,ROW()*7)),"")</f>
        <v/>
      </c>
      <c r="G97" s="4" t="str">
        <f t="shared" si="8"/>
        <v/>
      </c>
      <c r="H97" s="18" t="str" cm="1">
        <f t="array" ref="H97">IF(INDEX($B:$B,1+7*ROWS($H$1:H97))="","",INDEX($B:$B,1+7*(ROWS($H$1:H97)-1))-INDEX($B:$B,1+7*ROWS($H$1:H97)))</f>
        <v/>
      </c>
      <c r="AA97" s="5" t="str">
        <f t="shared" si="10"/>
        <v/>
      </c>
      <c r="AB97" s="5" t="str">
        <f t="shared" si="11"/>
        <v/>
      </c>
    </row>
    <row r="98" spans="1:28" x14ac:dyDescent="0.35">
      <c r="A98" s="3"/>
      <c r="C98" s="4" t="str">
        <f t="shared" si="6"/>
        <v/>
      </c>
      <c r="D98" s="4" t="str">
        <f t="shared" si="9"/>
        <v/>
      </c>
      <c r="E98" s="4" t="str">
        <f t="shared" si="7"/>
        <v/>
      </c>
      <c r="F98" s="5" t="str">
        <f>IFERROR(AVERAGE(INDEX(B:B,(ROW()-1)*7+1):INDEX(B:B,ROW()*7)),"")</f>
        <v/>
      </c>
      <c r="G98" s="4" t="str">
        <f t="shared" si="8"/>
        <v/>
      </c>
      <c r="H98" s="18" t="str" cm="1">
        <f t="array" ref="H98">IF(INDEX($B:$B,1+7*ROWS($H$1:H98))="","",INDEX($B:$B,1+7*(ROWS($H$1:H98)-1))-INDEX($B:$B,1+7*ROWS($H$1:H98)))</f>
        <v/>
      </c>
      <c r="AA98" s="5" t="str">
        <f t="shared" si="10"/>
        <v/>
      </c>
      <c r="AB98" s="5" t="str">
        <f t="shared" si="11"/>
        <v/>
      </c>
    </row>
    <row r="99" spans="1:28" x14ac:dyDescent="0.35">
      <c r="A99" s="19"/>
      <c r="C99" s="4" t="str">
        <f t="shared" si="6"/>
        <v/>
      </c>
      <c r="D99" s="4" t="str">
        <f t="shared" si="9"/>
        <v/>
      </c>
      <c r="E99" s="4" t="str">
        <f t="shared" si="7"/>
        <v/>
      </c>
      <c r="F99" s="5" t="str">
        <f>IFERROR(AVERAGE(INDEX(B:B,(ROW()-1)*7+1):INDEX(B:B,ROW()*7)),"")</f>
        <v/>
      </c>
      <c r="G99" s="4" t="str">
        <f t="shared" si="8"/>
        <v/>
      </c>
      <c r="H99" s="18" t="str" cm="1">
        <f t="array" ref="H99">IF(INDEX($B:$B,1+7*ROWS($H$1:H99))="","",INDEX($B:$B,1+7*(ROWS($H$1:H99)-1))-INDEX($B:$B,1+7*ROWS($H$1:H99)))</f>
        <v/>
      </c>
      <c r="AA99" s="5" t="str">
        <f t="shared" si="10"/>
        <v/>
      </c>
      <c r="AB99" s="5" t="str">
        <f t="shared" si="11"/>
        <v/>
      </c>
    </row>
    <row r="100" spans="1:28" x14ac:dyDescent="0.35">
      <c r="A100" s="3"/>
      <c r="C100" s="4" t="str">
        <f t="shared" si="6"/>
        <v/>
      </c>
      <c r="D100" s="4" t="str">
        <f t="shared" si="9"/>
        <v/>
      </c>
      <c r="E100" s="4" t="str">
        <f t="shared" si="7"/>
        <v/>
      </c>
      <c r="F100" s="5" t="str">
        <f>IFERROR(AVERAGE(INDEX(B:B,(ROW()-1)*7+1):INDEX(B:B,ROW()*7)),"")</f>
        <v/>
      </c>
      <c r="G100" s="4" t="str">
        <f t="shared" si="8"/>
        <v/>
      </c>
      <c r="H100" s="18" t="str" cm="1">
        <f t="array" ref="H100">IF(INDEX($B:$B,1+7*ROWS($H$1:H100))="","",INDEX($B:$B,1+7*(ROWS($H$1:H100)-1))-INDEX($B:$B,1+7*ROWS($H$1:H100)))</f>
        <v/>
      </c>
      <c r="AA100" s="5" t="str">
        <f t="shared" si="10"/>
        <v/>
      </c>
      <c r="AB100" s="5" t="str">
        <f t="shared" si="11"/>
        <v/>
      </c>
    </row>
    <row r="101" spans="1:28" x14ac:dyDescent="0.35">
      <c r="A101" s="3"/>
      <c r="C101" s="4" t="str">
        <f t="shared" si="6"/>
        <v/>
      </c>
      <c r="D101" s="4" t="str">
        <f t="shared" si="9"/>
        <v/>
      </c>
      <c r="E101" s="4" t="str">
        <f t="shared" si="7"/>
        <v/>
      </c>
      <c r="F101" s="5" t="str">
        <f>IFERROR(AVERAGE(INDEX(B:B,(ROW()-1)*7+1):INDEX(B:B,ROW()*7)),"")</f>
        <v/>
      </c>
      <c r="G101" s="4" t="str">
        <f t="shared" si="8"/>
        <v/>
      </c>
      <c r="H101" s="18" t="str" cm="1">
        <f t="array" ref="H101">IF(INDEX($B:$B,1+7*ROWS($H$1:H101))="","",INDEX($B:$B,1+7*(ROWS($H$1:H101)-1))-INDEX($B:$B,1+7*ROWS($H$1:H101)))</f>
        <v/>
      </c>
      <c r="AA101" s="5" t="str">
        <f t="shared" si="10"/>
        <v/>
      </c>
      <c r="AB101" s="5" t="str">
        <f t="shared" si="11"/>
        <v/>
      </c>
    </row>
    <row r="102" spans="1:28" x14ac:dyDescent="0.35">
      <c r="A102" s="3"/>
      <c r="C102" s="4" t="str">
        <f t="shared" si="6"/>
        <v/>
      </c>
      <c r="D102" s="4" t="str">
        <f t="shared" si="9"/>
        <v/>
      </c>
      <c r="E102" s="4" t="str">
        <f t="shared" si="7"/>
        <v/>
      </c>
      <c r="F102" s="5" t="str">
        <f>IFERROR(AVERAGE(INDEX(B:B,(ROW()-1)*7+1):INDEX(B:B,ROW()*7)),"")</f>
        <v/>
      </c>
      <c r="G102" s="4" t="str">
        <f t="shared" si="8"/>
        <v/>
      </c>
      <c r="H102" s="18" t="str" cm="1">
        <f t="array" ref="H102">IF(INDEX($B:$B,1+7*ROWS($H$1:H102))="","",INDEX($B:$B,1+7*(ROWS($H$1:H102)-1))-INDEX($B:$B,1+7*ROWS($H$1:H102)))</f>
        <v/>
      </c>
      <c r="AA102" s="5" t="str">
        <f t="shared" si="10"/>
        <v/>
      </c>
      <c r="AB102" s="5" t="str">
        <f t="shared" si="11"/>
        <v/>
      </c>
    </row>
    <row r="103" spans="1:28" x14ac:dyDescent="0.35">
      <c r="A103" s="3"/>
      <c r="C103" s="4" t="str">
        <f t="shared" si="6"/>
        <v/>
      </c>
      <c r="D103" s="4" t="str">
        <f t="shared" si="9"/>
        <v/>
      </c>
      <c r="E103" s="4" t="str">
        <f t="shared" si="7"/>
        <v/>
      </c>
      <c r="F103" s="5" t="str">
        <f>IFERROR(AVERAGE(INDEX(B:B,(ROW()-1)*7+1):INDEX(B:B,ROW()*7)),"")</f>
        <v/>
      </c>
      <c r="G103" s="4" t="str">
        <f t="shared" si="8"/>
        <v/>
      </c>
      <c r="H103" s="18" t="str" cm="1">
        <f t="array" ref="H103">IF(INDEX($B:$B,1+7*ROWS($H$1:H103))="","",INDEX($B:$B,1+7*(ROWS($H$1:H103)-1))-INDEX($B:$B,1+7*ROWS($H$1:H103)))</f>
        <v/>
      </c>
      <c r="AA103" s="5" t="str">
        <f t="shared" si="10"/>
        <v/>
      </c>
      <c r="AB103" s="5" t="str">
        <f t="shared" si="11"/>
        <v/>
      </c>
    </row>
    <row r="104" spans="1:28" x14ac:dyDescent="0.35">
      <c r="A104" s="3"/>
      <c r="C104" s="4" t="str">
        <f t="shared" si="6"/>
        <v/>
      </c>
      <c r="D104" s="4" t="str">
        <f t="shared" si="9"/>
        <v/>
      </c>
      <c r="E104" s="4" t="str">
        <f t="shared" si="7"/>
        <v/>
      </c>
      <c r="F104" s="5" t="str">
        <f>IFERROR(AVERAGE(INDEX(B:B,(ROW()-1)*7+1):INDEX(B:B,ROW()*7)),"")</f>
        <v/>
      </c>
      <c r="G104" s="4" t="str">
        <f t="shared" si="8"/>
        <v/>
      </c>
      <c r="H104" s="18" t="str" cm="1">
        <f t="array" ref="H104">IF(INDEX($B:$B,1+7*ROWS($H$1:H104))="","",INDEX($B:$B,1+7*(ROWS($H$1:H104)-1))-INDEX($B:$B,1+7*ROWS($H$1:H104)))</f>
        <v/>
      </c>
      <c r="AA104" s="5" t="str">
        <f t="shared" si="10"/>
        <v/>
      </c>
      <c r="AB104" s="5" t="str">
        <f t="shared" si="11"/>
        <v/>
      </c>
    </row>
    <row r="105" spans="1:28" x14ac:dyDescent="0.35">
      <c r="A105" s="3"/>
      <c r="C105" s="4" t="str">
        <f t="shared" si="6"/>
        <v/>
      </c>
      <c r="D105" s="4" t="str">
        <f t="shared" si="9"/>
        <v/>
      </c>
      <c r="E105" s="4" t="str">
        <f t="shared" si="7"/>
        <v/>
      </c>
      <c r="F105" s="5" t="str">
        <f>IFERROR(AVERAGE(INDEX(B:B,(ROW()-1)*7+1):INDEX(B:B,ROW()*7)),"")</f>
        <v/>
      </c>
      <c r="G105" s="4" t="str">
        <f t="shared" si="8"/>
        <v/>
      </c>
      <c r="H105" s="18" t="str" cm="1">
        <f t="array" ref="H105">IF(INDEX($B:$B,1+7*ROWS($H$1:H105))="","",INDEX($B:$B,1+7*(ROWS($H$1:H105)-1))-INDEX($B:$B,1+7*ROWS($H$1:H105)))</f>
        <v/>
      </c>
      <c r="AA105" s="5" t="str">
        <f t="shared" si="10"/>
        <v/>
      </c>
      <c r="AB105" s="5" t="str">
        <f t="shared" si="11"/>
        <v/>
      </c>
    </row>
    <row r="106" spans="1:28" x14ac:dyDescent="0.35">
      <c r="A106" s="19"/>
      <c r="C106" s="4" t="str">
        <f t="shared" si="6"/>
        <v/>
      </c>
      <c r="D106" s="4" t="str">
        <f t="shared" si="9"/>
        <v/>
      </c>
      <c r="E106" s="4" t="str">
        <f t="shared" si="7"/>
        <v/>
      </c>
      <c r="F106" s="5" t="str">
        <f>IFERROR(AVERAGE(INDEX(B:B,(ROW()-1)*7+1):INDEX(B:B,ROW()*7)),"")</f>
        <v/>
      </c>
      <c r="G106" s="4" t="str">
        <f t="shared" si="8"/>
        <v/>
      </c>
      <c r="H106" s="18" t="str" cm="1">
        <f t="array" ref="H106">IF(INDEX($B:$B,1+7*ROWS($H$1:H106))="","",INDEX($B:$B,1+7*(ROWS($H$1:H106)-1))-INDEX($B:$B,1+7*ROWS($H$1:H106)))</f>
        <v/>
      </c>
      <c r="AA106" s="5" t="str">
        <f t="shared" si="10"/>
        <v/>
      </c>
      <c r="AB106" s="5" t="str">
        <f t="shared" si="11"/>
        <v/>
      </c>
    </row>
    <row r="107" spans="1:28" x14ac:dyDescent="0.35">
      <c r="A107" s="3"/>
      <c r="C107" s="4" t="str">
        <f t="shared" si="6"/>
        <v/>
      </c>
      <c r="D107" s="4" t="str">
        <f t="shared" si="9"/>
        <v/>
      </c>
      <c r="E107" s="4" t="str">
        <f t="shared" si="7"/>
        <v/>
      </c>
      <c r="F107" s="5" t="str">
        <f>IFERROR(AVERAGE(INDEX(B:B,(ROW()-1)*7+1):INDEX(B:B,ROW()*7)),"")</f>
        <v/>
      </c>
      <c r="G107" s="4" t="str">
        <f t="shared" si="8"/>
        <v/>
      </c>
      <c r="H107" s="18" t="str" cm="1">
        <f t="array" ref="H107">IF(INDEX($B:$B,1+7*ROWS($H$1:H107))="","",INDEX($B:$B,1+7*(ROWS($H$1:H107)-1))-INDEX($B:$B,1+7*ROWS($H$1:H107)))</f>
        <v/>
      </c>
      <c r="AA107" s="5" t="str">
        <f t="shared" si="10"/>
        <v/>
      </c>
      <c r="AB107" s="5" t="str">
        <f t="shared" si="11"/>
        <v/>
      </c>
    </row>
    <row r="108" spans="1:28" x14ac:dyDescent="0.35">
      <c r="A108" s="3"/>
      <c r="C108" s="4" t="str">
        <f t="shared" si="6"/>
        <v/>
      </c>
      <c r="D108" s="4" t="str">
        <f t="shared" si="9"/>
        <v/>
      </c>
      <c r="E108" s="4" t="str">
        <f t="shared" si="7"/>
        <v/>
      </c>
      <c r="F108" s="5" t="str">
        <f>IFERROR(AVERAGE(INDEX(B:B,(ROW()-1)*7+1):INDEX(B:B,ROW()*7)),"")</f>
        <v/>
      </c>
      <c r="G108" s="4" t="str">
        <f t="shared" si="8"/>
        <v/>
      </c>
      <c r="H108" s="18" t="str" cm="1">
        <f t="array" ref="H108">IF(INDEX($B:$B,1+7*ROWS($H$1:H108))="","",INDEX($B:$B,1+7*(ROWS($H$1:H108)-1))-INDEX($B:$B,1+7*ROWS($H$1:H108)))</f>
        <v/>
      </c>
      <c r="AA108" s="5" t="str">
        <f t="shared" si="10"/>
        <v/>
      </c>
      <c r="AB108" s="5" t="str">
        <f t="shared" si="11"/>
        <v/>
      </c>
    </row>
    <row r="109" spans="1:28" x14ac:dyDescent="0.35">
      <c r="A109" s="3"/>
      <c r="C109" s="4" t="str">
        <f t="shared" si="6"/>
        <v/>
      </c>
      <c r="D109" s="4" t="str">
        <f t="shared" si="9"/>
        <v/>
      </c>
      <c r="E109" s="4" t="str">
        <f t="shared" si="7"/>
        <v/>
      </c>
      <c r="F109" s="5" t="str">
        <f>IFERROR(AVERAGE(INDEX(B:B,(ROW()-1)*7+1):INDEX(B:B,ROW()*7)),"")</f>
        <v/>
      </c>
      <c r="G109" s="4" t="str">
        <f t="shared" si="8"/>
        <v/>
      </c>
      <c r="H109" s="18" t="str" cm="1">
        <f t="array" ref="H109">IF(INDEX($B:$B,1+7*ROWS($H$1:H109))="","",INDEX($B:$B,1+7*(ROWS($H$1:H109)-1))-INDEX($B:$B,1+7*ROWS($H$1:H109)))</f>
        <v/>
      </c>
      <c r="AA109" s="5" t="str">
        <f t="shared" si="10"/>
        <v/>
      </c>
      <c r="AB109" s="5" t="str">
        <f t="shared" si="11"/>
        <v/>
      </c>
    </row>
    <row r="110" spans="1:28" x14ac:dyDescent="0.35">
      <c r="A110" s="3"/>
      <c r="C110" s="4" t="str">
        <f t="shared" si="6"/>
        <v/>
      </c>
      <c r="D110" s="4" t="str">
        <f t="shared" si="9"/>
        <v/>
      </c>
      <c r="E110" s="4" t="str">
        <f t="shared" si="7"/>
        <v/>
      </c>
      <c r="F110" s="5" t="str">
        <f>IFERROR(AVERAGE(INDEX(B:B,(ROW()-1)*7+1):INDEX(B:B,ROW()*7)),"")</f>
        <v/>
      </c>
      <c r="G110" s="4" t="str">
        <f t="shared" si="8"/>
        <v/>
      </c>
      <c r="H110" s="18" t="str" cm="1">
        <f t="array" ref="H110">IF(INDEX($B:$B,1+7*ROWS($H$1:H110))="","",INDEX($B:$B,1+7*(ROWS($H$1:H110)-1))-INDEX($B:$B,1+7*ROWS($H$1:H110)))</f>
        <v/>
      </c>
      <c r="AA110" s="5" t="str">
        <f t="shared" si="10"/>
        <v/>
      </c>
      <c r="AB110" s="5" t="str">
        <f t="shared" si="11"/>
        <v/>
      </c>
    </row>
    <row r="111" spans="1:28" x14ac:dyDescent="0.35">
      <c r="A111" s="3"/>
      <c r="C111" s="4" t="str">
        <f t="shared" si="6"/>
        <v/>
      </c>
      <c r="D111" s="4" t="str">
        <f t="shared" si="9"/>
        <v/>
      </c>
      <c r="E111" s="4" t="str">
        <f t="shared" si="7"/>
        <v/>
      </c>
      <c r="F111" s="5" t="str">
        <f>IFERROR(AVERAGE(INDEX(B:B,(ROW()-1)*7+1):INDEX(B:B,ROW()*7)),"")</f>
        <v/>
      </c>
      <c r="G111" s="4" t="str">
        <f t="shared" si="8"/>
        <v/>
      </c>
      <c r="H111" s="18" t="str" cm="1">
        <f t="array" ref="H111">IF(INDEX($B:$B,1+7*ROWS($H$1:H111))="","",INDEX($B:$B,1+7*(ROWS($H$1:H111)-1))-INDEX($B:$B,1+7*ROWS($H$1:H111)))</f>
        <v/>
      </c>
      <c r="AA111" s="5" t="str">
        <f t="shared" si="10"/>
        <v/>
      </c>
      <c r="AB111" s="5" t="str">
        <f t="shared" si="11"/>
        <v/>
      </c>
    </row>
    <row r="112" spans="1:28" x14ac:dyDescent="0.35">
      <c r="A112" s="3"/>
      <c r="C112" s="4" t="str">
        <f t="shared" si="6"/>
        <v/>
      </c>
      <c r="D112" s="4" t="str">
        <f t="shared" si="9"/>
        <v/>
      </c>
      <c r="E112" s="4" t="str">
        <f t="shared" si="7"/>
        <v/>
      </c>
      <c r="F112" s="5" t="str">
        <f>IFERROR(AVERAGE(INDEX(B:B,(ROW()-1)*7+1):INDEX(B:B,ROW()*7)),"")</f>
        <v/>
      </c>
      <c r="G112" s="4" t="str">
        <f t="shared" si="8"/>
        <v/>
      </c>
      <c r="H112" s="18" t="str" cm="1">
        <f t="array" ref="H112">IF(INDEX($B:$B,1+7*ROWS($H$1:H112))="","",INDEX($B:$B,1+7*(ROWS($H$1:H112)-1))-INDEX($B:$B,1+7*ROWS($H$1:H112)))</f>
        <v/>
      </c>
      <c r="AA112" s="5" t="str">
        <f t="shared" si="10"/>
        <v/>
      </c>
      <c r="AB112" s="5" t="str">
        <f t="shared" si="11"/>
        <v/>
      </c>
    </row>
    <row r="113" spans="1:28" x14ac:dyDescent="0.35">
      <c r="A113" s="19"/>
      <c r="C113" s="4" t="str">
        <f t="shared" si="6"/>
        <v/>
      </c>
      <c r="D113" s="4" t="str">
        <f t="shared" si="9"/>
        <v/>
      </c>
      <c r="E113" s="4" t="str">
        <f t="shared" si="7"/>
        <v/>
      </c>
      <c r="F113" s="5" t="str">
        <f>IFERROR(AVERAGE(INDEX(B:B,(ROW()-1)*7+1):INDEX(B:B,ROW()*7)),"")</f>
        <v/>
      </c>
      <c r="G113" s="4" t="str">
        <f t="shared" si="8"/>
        <v/>
      </c>
      <c r="H113" s="18" t="str" cm="1">
        <f t="array" ref="H113">IF(INDEX($B:$B,1+7*ROWS($H$1:H113))="","",INDEX($B:$B,1+7*(ROWS($H$1:H113)-1))-INDEX($B:$B,1+7*ROWS($H$1:H113)))</f>
        <v/>
      </c>
      <c r="AA113" s="5" t="str">
        <f t="shared" si="10"/>
        <v/>
      </c>
      <c r="AB113" s="5" t="str">
        <f t="shared" si="11"/>
        <v/>
      </c>
    </row>
    <row r="114" spans="1:28" x14ac:dyDescent="0.35">
      <c r="A114" s="3"/>
      <c r="C114" s="4" t="str">
        <f t="shared" si="6"/>
        <v/>
      </c>
      <c r="D114" s="4" t="str">
        <f t="shared" si="9"/>
        <v/>
      </c>
      <c r="E114" s="4" t="str">
        <f t="shared" si="7"/>
        <v/>
      </c>
      <c r="F114" s="5" t="str">
        <f>IFERROR(AVERAGE(INDEX(B:B,(ROW()-1)*7+1):INDEX(B:B,ROW()*7)),"")</f>
        <v/>
      </c>
      <c r="G114" s="4" t="str">
        <f t="shared" si="8"/>
        <v/>
      </c>
      <c r="H114" s="18" t="str" cm="1">
        <f t="array" ref="H114">IF(INDEX($B:$B,1+7*ROWS($H$1:H114))="","",INDEX($B:$B,1+7*(ROWS($H$1:H114)-1))-INDEX($B:$B,1+7*ROWS($H$1:H114)))</f>
        <v/>
      </c>
      <c r="AA114" s="5" t="str">
        <f t="shared" si="10"/>
        <v/>
      </c>
      <c r="AB114" s="5" t="str">
        <f t="shared" si="11"/>
        <v/>
      </c>
    </row>
    <row r="115" spans="1:28" x14ac:dyDescent="0.35">
      <c r="A115" s="3"/>
      <c r="C115" s="4" t="str">
        <f t="shared" si="6"/>
        <v/>
      </c>
      <c r="D115" s="4" t="str">
        <f t="shared" si="9"/>
        <v/>
      </c>
      <c r="E115" s="4" t="str">
        <f t="shared" si="7"/>
        <v/>
      </c>
      <c r="F115" s="5" t="str">
        <f>IFERROR(AVERAGE(INDEX(B:B,(ROW()-1)*7+1):INDEX(B:B,ROW()*7)),"")</f>
        <v/>
      </c>
      <c r="G115" s="4" t="str">
        <f t="shared" si="8"/>
        <v/>
      </c>
      <c r="H115" s="18" t="str" cm="1">
        <f t="array" ref="H115">IF(INDEX($B:$B,1+7*ROWS($H$1:H115))="","",INDEX($B:$B,1+7*(ROWS($H$1:H115)-1))-INDEX($B:$B,1+7*ROWS($H$1:H115)))</f>
        <v/>
      </c>
      <c r="AA115" s="5" t="str">
        <f t="shared" si="10"/>
        <v/>
      </c>
      <c r="AB115" s="5" t="str">
        <f t="shared" si="11"/>
        <v/>
      </c>
    </row>
    <row r="116" spans="1:28" x14ac:dyDescent="0.35">
      <c r="A116" s="3"/>
      <c r="C116" s="4" t="str">
        <f t="shared" si="6"/>
        <v/>
      </c>
      <c r="D116" s="4" t="str">
        <f t="shared" si="9"/>
        <v/>
      </c>
      <c r="E116" s="4" t="str">
        <f t="shared" si="7"/>
        <v/>
      </c>
      <c r="F116" s="5" t="str">
        <f>IFERROR(AVERAGE(INDEX(B:B,(ROW()-1)*7+1):INDEX(B:B,ROW()*7)),"")</f>
        <v/>
      </c>
      <c r="G116" s="4" t="str">
        <f t="shared" si="8"/>
        <v/>
      </c>
      <c r="H116" s="18" t="str" cm="1">
        <f t="array" ref="H116">IF(INDEX($B:$B,1+7*ROWS($H$1:H116))="","",INDEX($B:$B,1+7*(ROWS($H$1:H116)-1))-INDEX($B:$B,1+7*ROWS($H$1:H116)))</f>
        <v/>
      </c>
      <c r="AA116" s="5" t="str">
        <f t="shared" si="10"/>
        <v/>
      </c>
      <c r="AB116" s="5" t="str">
        <f t="shared" si="11"/>
        <v/>
      </c>
    </row>
    <row r="117" spans="1:28" x14ac:dyDescent="0.35">
      <c r="A117" s="3"/>
      <c r="C117" s="4" t="str">
        <f t="shared" si="6"/>
        <v/>
      </c>
      <c r="D117" s="4" t="str">
        <f t="shared" si="9"/>
        <v/>
      </c>
      <c r="E117" s="4" t="str">
        <f t="shared" si="7"/>
        <v/>
      </c>
      <c r="F117" s="5" t="str">
        <f>IFERROR(AVERAGE(INDEX(B:B,(ROW()-1)*7+1):INDEX(B:B,ROW()*7)),"")</f>
        <v/>
      </c>
      <c r="G117" s="4" t="str">
        <f t="shared" si="8"/>
        <v/>
      </c>
      <c r="H117" s="18" t="str" cm="1">
        <f t="array" ref="H117">IF(INDEX($B:$B,1+7*ROWS($H$1:H117))="","",INDEX($B:$B,1+7*(ROWS($H$1:H117)-1))-INDEX($B:$B,1+7*ROWS($H$1:H117)))</f>
        <v/>
      </c>
      <c r="AA117" s="5" t="str">
        <f t="shared" si="10"/>
        <v/>
      </c>
      <c r="AB117" s="5" t="str">
        <f t="shared" si="11"/>
        <v/>
      </c>
    </row>
    <row r="118" spans="1:28" x14ac:dyDescent="0.35">
      <c r="A118" s="3"/>
      <c r="C118" s="4" t="str">
        <f t="shared" si="6"/>
        <v/>
      </c>
      <c r="D118" s="4" t="str">
        <f t="shared" si="9"/>
        <v/>
      </c>
      <c r="E118" s="4" t="str">
        <f t="shared" si="7"/>
        <v/>
      </c>
      <c r="F118" s="5" t="str">
        <f>IFERROR(AVERAGE(INDEX(B:B,(ROW()-1)*7+1):INDEX(B:B,ROW()*7)),"")</f>
        <v/>
      </c>
      <c r="G118" s="4" t="str">
        <f t="shared" si="8"/>
        <v/>
      </c>
      <c r="H118" s="18" t="str" cm="1">
        <f t="array" ref="H118">IF(INDEX($B:$B,1+7*ROWS($H$1:H118))="","",INDEX($B:$B,1+7*(ROWS($H$1:H118)-1))-INDEX($B:$B,1+7*ROWS($H$1:H118)))</f>
        <v/>
      </c>
      <c r="AA118" s="5" t="str">
        <f t="shared" si="10"/>
        <v/>
      </c>
      <c r="AB118" s="5" t="str">
        <f t="shared" si="11"/>
        <v/>
      </c>
    </row>
    <row r="119" spans="1:28" x14ac:dyDescent="0.35">
      <c r="A119" s="3"/>
      <c r="C119" s="4" t="str">
        <f t="shared" si="6"/>
        <v/>
      </c>
      <c r="D119" s="4" t="str">
        <f t="shared" si="9"/>
        <v/>
      </c>
      <c r="E119" s="4" t="str">
        <f t="shared" si="7"/>
        <v/>
      </c>
      <c r="F119" s="5" t="str">
        <f>IFERROR(AVERAGE(INDEX(B:B,(ROW()-1)*7+1):INDEX(B:B,ROW()*7)),"")</f>
        <v/>
      </c>
      <c r="G119" s="4" t="str">
        <f t="shared" si="8"/>
        <v/>
      </c>
      <c r="H119" s="18" t="str" cm="1">
        <f t="array" ref="H119">IF(INDEX($B:$B,1+7*ROWS($H$1:H119))="","",INDEX($B:$B,1+7*(ROWS($H$1:H119)-1))-INDEX($B:$B,1+7*ROWS($H$1:H119)))</f>
        <v/>
      </c>
      <c r="AA119" s="5" t="str">
        <f t="shared" si="10"/>
        <v/>
      </c>
      <c r="AB119" s="5" t="str">
        <f t="shared" si="11"/>
        <v/>
      </c>
    </row>
    <row r="120" spans="1:28" x14ac:dyDescent="0.35">
      <c r="A120" s="19"/>
      <c r="C120" s="4" t="str">
        <f t="shared" si="6"/>
        <v/>
      </c>
      <c r="D120" s="4" t="str">
        <f t="shared" si="9"/>
        <v/>
      </c>
      <c r="E120" s="4" t="str">
        <f t="shared" si="7"/>
        <v/>
      </c>
      <c r="F120" s="5" t="str">
        <f>IFERROR(AVERAGE(INDEX(B:B,(ROW()-1)*7+1):INDEX(B:B,ROW()*7)),"")</f>
        <v/>
      </c>
      <c r="G120" s="4" t="str">
        <f t="shared" si="8"/>
        <v/>
      </c>
      <c r="H120" s="18" t="str" cm="1">
        <f t="array" ref="H120">IF(INDEX($B:$B,1+7*ROWS($H$1:H120))="","",INDEX($B:$B,1+7*(ROWS($H$1:H120)-1))-INDEX($B:$B,1+7*ROWS($H$1:H120)))</f>
        <v/>
      </c>
      <c r="AA120" s="5" t="str">
        <f t="shared" si="10"/>
        <v/>
      </c>
      <c r="AB120" s="5" t="str">
        <f t="shared" si="11"/>
        <v/>
      </c>
    </row>
    <row r="121" spans="1:28" x14ac:dyDescent="0.35">
      <c r="A121" s="3"/>
      <c r="C121" s="4" t="str">
        <f t="shared" si="6"/>
        <v/>
      </c>
      <c r="D121" s="4" t="str">
        <f t="shared" si="9"/>
        <v/>
      </c>
      <c r="E121" s="4" t="str">
        <f t="shared" si="7"/>
        <v/>
      </c>
      <c r="F121" s="5" t="str">
        <f>IFERROR(AVERAGE(INDEX(B:B,(ROW()-1)*7+1):INDEX(B:B,ROW()*7)),"")</f>
        <v/>
      </c>
      <c r="G121" s="4" t="str">
        <f t="shared" si="8"/>
        <v/>
      </c>
      <c r="H121" s="18" t="str" cm="1">
        <f t="array" ref="H121">IF(INDEX($B:$B,1+7*ROWS($H$1:H121))="","",INDEX($B:$B,1+7*(ROWS($H$1:H121)-1))-INDEX($B:$B,1+7*ROWS($H$1:H121)))</f>
        <v/>
      </c>
      <c r="AA121" s="5" t="str">
        <f t="shared" si="10"/>
        <v/>
      </c>
      <c r="AB121" s="5" t="str">
        <f t="shared" si="11"/>
        <v/>
      </c>
    </row>
    <row r="122" spans="1:28" x14ac:dyDescent="0.35">
      <c r="A122" s="3"/>
      <c r="C122" s="4" t="str">
        <f t="shared" si="6"/>
        <v/>
      </c>
      <c r="D122" s="4" t="str">
        <f t="shared" si="9"/>
        <v/>
      </c>
      <c r="E122" s="4" t="str">
        <f t="shared" si="7"/>
        <v/>
      </c>
      <c r="F122" s="5" t="str">
        <f>IFERROR(AVERAGE(INDEX(B:B,(ROW()-1)*7+1):INDEX(B:B,ROW()*7)),"")</f>
        <v/>
      </c>
      <c r="G122" s="4" t="str">
        <f t="shared" si="8"/>
        <v/>
      </c>
      <c r="H122" s="18" t="str" cm="1">
        <f t="array" ref="H122">IF(INDEX($B:$B,1+7*ROWS($H$1:H122))="","",INDEX($B:$B,1+7*(ROWS($H$1:H122)-1))-INDEX($B:$B,1+7*ROWS($H$1:H122)))</f>
        <v/>
      </c>
      <c r="AA122" s="5" t="str">
        <f t="shared" si="10"/>
        <v/>
      </c>
      <c r="AB122" s="5" t="str">
        <f t="shared" si="11"/>
        <v/>
      </c>
    </row>
    <row r="123" spans="1:28" x14ac:dyDescent="0.35">
      <c r="A123" s="3"/>
      <c r="C123" s="4" t="str">
        <f t="shared" si="6"/>
        <v/>
      </c>
      <c r="D123" s="4" t="str">
        <f t="shared" si="9"/>
        <v/>
      </c>
      <c r="E123" s="4" t="str">
        <f t="shared" si="7"/>
        <v/>
      </c>
      <c r="F123" s="5" t="str">
        <f>IFERROR(AVERAGE(INDEX(B:B,(ROW()-1)*7+1):INDEX(B:B,ROW()*7)),"")</f>
        <v/>
      </c>
      <c r="G123" s="4" t="str">
        <f t="shared" si="8"/>
        <v/>
      </c>
      <c r="H123" s="18" t="str" cm="1">
        <f t="array" ref="H123">IF(INDEX($B:$B,1+7*ROWS($H$1:H123))="","",INDEX($B:$B,1+7*(ROWS($H$1:H123)-1))-INDEX($B:$B,1+7*ROWS($H$1:H123)))</f>
        <v/>
      </c>
      <c r="AA123" s="5" t="str">
        <f t="shared" si="10"/>
        <v/>
      </c>
      <c r="AB123" s="5" t="str">
        <f t="shared" si="11"/>
        <v/>
      </c>
    </row>
    <row r="124" spans="1:28" x14ac:dyDescent="0.35">
      <c r="A124" s="3"/>
      <c r="C124" s="4" t="str">
        <f t="shared" si="6"/>
        <v/>
      </c>
      <c r="D124" s="4" t="str">
        <f t="shared" si="9"/>
        <v/>
      </c>
      <c r="E124" s="4" t="str">
        <f t="shared" si="7"/>
        <v/>
      </c>
      <c r="F124" s="5" t="str">
        <f>IFERROR(AVERAGE(INDEX(B:B,(ROW()-1)*7+1):INDEX(B:B,ROW()*7)),"")</f>
        <v/>
      </c>
      <c r="G124" s="4" t="str">
        <f t="shared" si="8"/>
        <v/>
      </c>
      <c r="H124" s="18" t="str" cm="1">
        <f t="array" ref="H124">IF(INDEX($B:$B,1+7*ROWS($H$1:H124))="","",INDEX($B:$B,1+7*(ROWS($H$1:H124)-1))-INDEX($B:$B,1+7*ROWS($H$1:H124)))</f>
        <v/>
      </c>
      <c r="AA124" s="5" t="str">
        <f t="shared" si="10"/>
        <v/>
      </c>
      <c r="AB124" s="5" t="str">
        <f t="shared" si="11"/>
        <v/>
      </c>
    </row>
    <row r="125" spans="1:28" x14ac:dyDescent="0.35">
      <c r="A125" s="3"/>
      <c r="C125" s="4" t="str">
        <f t="shared" si="6"/>
        <v/>
      </c>
      <c r="D125" s="4" t="str">
        <f t="shared" si="9"/>
        <v/>
      </c>
      <c r="E125" s="4" t="str">
        <f t="shared" si="7"/>
        <v/>
      </c>
      <c r="F125" s="5" t="str">
        <f>IFERROR(AVERAGE(INDEX(B:B,(ROW()-1)*7+1):INDEX(B:B,ROW()*7)),"")</f>
        <v/>
      </c>
      <c r="G125" s="4" t="str">
        <f t="shared" si="8"/>
        <v/>
      </c>
      <c r="H125" s="18" t="str" cm="1">
        <f t="array" ref="H125">IF(INDEX($B:$B,1+7*ROWS($H$1:H125))="","",INDEX($B:$B,1+7*(ROWS($H$1:H125)-1))-INDEX($B:$B,1+7*ROWS($H$1:H125)))</f>
        <v/>
      </c>
      <c r="AA125" s="5" t="str">
        <f t="shared" si="10"/>
        <v/>
      </c>
      <c r="AB125" s="5" t="str">
        <f t="shared" si="11"/>
        <v/>
      </c>
    </row>
    <row r="126" spans="1:28" x14ac:dyDescent="0.35">
      <c r="A126" s="3"/>
      <c r="C126" s="4" t="str">
        <f t="shared" si="6"/>
        <v/>
      </c>
      <c r="D126" s="4" t="str">
        <f t="shared" si="9"/>
        <v/>
      </c>
      <c r="E126" s="4" t="str">
        <f t="shared" si="7"/>
        <v/>
      </c>
      <c r="F126" s="5" t="str">
        <f>IFERROR(AVERAGE(INDEX(B:B,(ROW()-1)*7+1):INDEX(B:B,ROW()*7)),"")</f>
        <v/>
      </c>
      <c r="G126" s="4" t="str">
        <f t="shared" si="8"/>
        <v/>
      </c>
      <c r="H126" s="18" t="str" cm="1">
        <f t="array" ref="H126">IF(INDEX($B:$B,1+7*ROWS($H$1:H126))="","",INDEX($B:$B,1+7*(ROWS($H$1:H126)-1))-INDEX($B:$B,1+7*ROWS($H$1:H126)))</f>
        <v/>
      </c>
      <c r="AA126" s="5" t="str">
        <f t="shared" si="10"/>
        <v/>
      </c>
      <c r="AB126" s="5" t="str">
        <f t="shared" si="11"/>
        <v/>
      </c>
    </row>
    <row r="127" spans="1:28" x14ac:dyDescent="0.35">
      <c r="A127" s="19"/>
      <c r="C127" s="4" t="str">
        <f t="shared" si="6"/>
        <v/>
      </c>
      <c r="D127" s="4" t="str">
        <f t="shared" si="9"/>
        <v/>
      </c>
      <c r="E127" s="4" t="str">
        <f t="shared" si="7"/>
        <v/>
      </c>
      <c r="F127" s="5" t="str">
        <f>IFERROR(AVERAGE(INDEX(B:B,(ROW()-1)*7+1):INDEX(B:B,ROW()*7)),"")</f>
        <v/>
      </c>
      <c r="G127" s="4" t="str">
        <f t="shared" si="8"/>
        <v/>
      </c>
      <c r="H127" s="18" t="str" cm="1">
        <f t="array" ref="H127">IF(INDEX($B:$B,1+7*ROWS($H$1:H127))="","",INDEX($B:$B,1+7*(ROWS($H$1:H127)-1))-INDEX($B:$B,1+7*ROWS($H$1:H127)))</f>
        <v/>
      </c>
      <c r="AA127" s="5" t="str">
        <f t="shared" si="10"/>
        <v/>
      </c>
      <c r="AB127" s="5" t="str">
        <f t="shared" si="11"/>
        <v/>
      </c>
    </row>
    <row r="128" spans="1:28" x14ac:dyDescent="0.35">
      <c r="A128" s="3"/>
      <c r="C128" s="4" t="str">
        <f t="shared" si="6"/>
        <v/>
      </c>
      <c r="D128" s="4" t="str">
        <f t="shared" si="9"/>
        <v/>
      </c>
      <c r="E128" s="4" t="str">
        <f t="shared" si="7"/>
        <v/>
      </c>
      <c r="F128" s="5" t="str">
        <f>IFERROR(AVERAGE(INDEX(B:B,(ROW()-1)*7+1):INDEX(B:B,ROW()*7)),"")</f>
        <v/>
      </c>
      <c r="G128" s="4" t="str">
        <f t="shared" si="8"/>
        <v/>
      </c>
      <c r="H128" s="18" t="str" cm="1">
        <f t="array" ref="H128">IF(INDEX($B:$B,1+7*ROWS($H$1:H128))="","",INDEX($B:$B,1+7*(ROWS($H$1:H128)-1))-INDEX($B:$B,1+7*ROWS($H$1:H128)))</f>
        <v/>
      </c>
      <c r="AA128" s="5" t="str">
        <f t="shared" si="10"/>
        <v/>
      </c>
      <c r="AB128" s="5" t="str">
        <f t="shared" si="11"/>
        <v/>
      </c>
    </row>
    <row r="129" spans="1:28" x14ac:dyDescent="0.35">
      <c r="A129" s="3"/>
      <c r="C129" s="4" t="str">
        <f t="shared" ref="C129:C192" si="12">IF(B129="","",ROW()*$I$15+$J$15)</f>
        <v/>
      </c>
      <c r="D129" s="4" t="str">
        <f t="shared" si="9"/>
        <v/>
      </c>
      <c r="E129" s="4" t="str">
        <f t="shared" ref="E129:E192" si="13">IF(D129="","",ROW()*$I$18+$J$18)</f>
        <v/>
      </c>
      <c r="F129" s="5" t="str">
        <f>IFERROR(AVERAGE(INDEX(B:B,(ROW()-1)*7+1):INDEX(B:B,ROW()*7)),"")</f>
        <v/>
      </c>
      <c r="G129" s="4" t="str">
        <f t="shared" ref="G129:G192" si="14">IF(F129="","",ROW()*$I$21+$J$21)</f>
        <v/>
      </c>
      <c r="H129" s="18" t="str" cm="1">
        <f t="array" ref="H129">IF(INDEX($B:$B,1+7*ROWS($H$1:H129))="","",INDEX($B:$B,1+7*(ROWS($H$1:H129)-1))-INDEX($B:$B,1+7*ROWS($H$1:H129)))</f>
        <v/>
      </c>
      <c r="AA129" s="5" t="str">
        <f t="shared" si="10"/>
        <v/>
      </c>
      <c r="AB129" s="5" t="str">
        <f t="shared" si="11"/>
        <v/>
      </c>
    </row>
    <row r="130" spans="1:28" x14ac:dyDescent="0.35">
      <c r="A130" s="3"/>
      <c r="C130" s="4" t="str">
        <f t="shared" si="12"/>
        <v/>
      </c>
      <c r="D130" s="4" t="str">
        <f t="shared" ref="D130:D193" si="15">IF(B130="","",2*(3*AB130-(ROW()+1)*AA130)/(ROW()*(ROW()+1)))</f>
        <v/>
      </c>
      <c r="E130" s="4" t="str">
        <f t="shared" si="13"/>
        <v/>
      </c>
      <c r="F130" s="5" t="str">
        <f>IFERROR(AVERAGE(INDEX(B:B,(ROW()-1)*7+1):INDEX(B:B,ROW()*7)),"")</f>
        <v/>
      </c>
      <c r="G130" s="4" t="str">
        <f t="shared" si="14"/>
        <v/>
      </c>
      <c r="H130" s="18" t="str" cm="1">
        <f t="array" ref="H130">IF(INDEX($B:$B,1+7*ROWS($H$1:H130))="","",INDEX($B:$B,1+7*(ROWS($H$1:H130)-1))-INDEX($B:$B,1+7*ROWS($H$1:H130)))</f>
        <v/>
      </c>
      <c r="AA130" s="5" t="str">
        <f t="shared" ref="AA130:AA193" si="16">IF(B130="","",IF(AA129="",B130,AA129+B130))</f>
        <v/>
      </c>
      <c r="AB130" s="5" t="str">
        <f t="shared" ref="AB130:AB193" si="17">IF(B130="","",IF(AB129="",ROW()*B130,AB129+ROW()*B130))</f>
        <v/>
      </c>
    </row>
    <row r="131" spans="1:28" x14ac:dyDescent="0.35">
      <c r="A131" s="3"/>
      <c r="C131" s="4" t="str">
        <f t="shared" si="12"/>
        <v/>
      </c>
      <c r="D131" s="4" t="str">
        <f t="shared" si="15"/>
        <v/>
      </c>
      <c r="E131" s="4" t="str">
        <f t="shared" si="13"/>
        <v/>
      </c>
      <c r="F131" s="5" t="str">
        <f>IFERROR(AVERAGE(INDEX(B:B,(ROW()-1)*7+1):INDEX(B:B,ROW()*7)),"")</f>
        <v/>
      </c>
      <c r="G131" s="4" t="str">
        <f t="shared" si="14"/>
        <v/>
      </c>
      <c r="H131" s="18" t="str" cm="1">
        <f t="array" ref="H131">IF(INDEX($B:$B,1+7*ROWS($H$1:H131))="","",INDEX($B:$B,1+7*(ROWS($H$1:H131)-1))-INDEX($B:$B,1+7*ROWS($H$1:H131)))</f>
        <v/>
      </c>
      <c r="AA131" s="5" t="str">
        <f t="shared" si="16"/>
        <v/>
      </c>
      <c r="AB131" s="5" t="str">
        <f t="shared" si="17"/>
        <v/>
      </c>
    </row>
    <row r="132" spans="1:28" x14ac:dyDescent="0.35">
      <c r="A132" s="3"/>
      <c r="C132" s="4" t="str">
        <f t="shared" si="12"/>
        <v/>
      </c>
      <c r="D132" s="4" t="str">
        <f t="shared" si="15"/>
        <v/>
      </c>
      <c r="E132" s="4" t="str">
        <f t="shared" si="13"/>
        <v/>
      </c>
      <c r="F132" s="5" t="str">
        <f>IFERROR(AVERAGE(INDEX(B:B,(ROW()-1)*7+1):INDEX(B:B,ROW()*7)),"")</f>
        <v/>
      </c>
      <c r="G132" s="4" t="str">
        <f t="shared" si="14"/>
        <v/>
      </c>
      <c r="H132" s="18" t="str" cm="1">
        <f t="array" ref="H132">IF(INDEX($B:$B,1+7*ROWS($H$1:H132))="","",INDEX($B:$B,1+7*(ROWS($H$1:H132)-1))-INDEX($B:$B,1+7*ROWS($H$1:H132)))</f>
        <v/>
      </c>
      <c r="AA132" s="5" t="str">
        <f t="shared" si="16"/>
        <v/>
      </c>
      <c r="AB132" s="5" t="str">
        <f t="shared" si="17"/>
        <v/>
      </c>
    </row>
    <row r="133" spans="1:28" x14ac:dyDescent="0.35">
      <c r="A133" s="3"/>
      <c r="C133" s="4" t="str">
        <f t="shared" si="12"/>
        <v/>
      </c>
      <c r="D133" s="4" t="str">
        <f t="shared" si="15"/>
        <v/>
      </c>
      <c r="E133" s="4" t="str">
        <f t="shared" si="13"/>
        <v/>
      </c>
      <c r="F133" s="5" t="str">
        <f>IFERROR(AVERAGE(INDEX(B:B,(ROW()-1)*7+1):INDEX(B:B,ROW()*7)),"")</f>
        <v/>
      </c>
      <c r="G133" s="4" t="str">
        <f t="shared" si="14"/>
        <v/>
      </c>
      <c r="H133" s="18" t="str" cm="1">
        <f t="array" ref="H133">IF(INDEX($B:$B,1+7*ROWS($H$1:H133))="","",INDEX($B:$B,1+7*(ROWS($H$1:H133)-1))-INDEX($B:$B,1+7*ROWS($H$1:H133)))</f>
        <v/>
      </c>
      <c r="AA133" s="5" t="str">
        <f t="shared" si="16"/>
        <v/>
      </c>
      <c r="AB133" s="5" t="str">
        <f t="shared" si="17"/>
        <v/>
      </c>
    </row>
    <row r="134" spans="1:28" x14ac:dyDescent="0.35">
      <c r="A134" s="19"/>
      <c r="C134" s="4" t="str">
        <f t="shared" si="12"/>
        <v/>
      </c>
      <c r="D134" s="4" t="str">
        <f t="shared" si="15"/>
        <v/>
      </c>
      <c r="E134" s="4" t="str">
        <f t="shared" si="13"/>
        <v/>
      </c>
      <c r="F134" s="5" t="str">
        <f>IFERROR(AVERAGE(INDEX(B:B,(ROW()-1)*7+1):INDEX(B:B,ROW()*7)),"")</f>
        <v/>
      </c>
      <c r="G134" s="4" t="str">
        <f t="shared" si="14"/>
        <v/>
      </c>
      <c r="H134" s="18" t="str" cm="1">
        <f t="array" ref="H134">IF(INDEX($B:$B,1+7*ROWS($H$1:H134))="","",INDEX($B:$B,1+7*(ROWS($H$1:H134)-1))-INDEX($B:$B,1+7*ROWS($H$1:H134)))</f>
        <v/>
      </c>
      <c r="AA134" s="5" t="str">
        <f t="shared" si="16"/>
        <v/>
      </c>
      <c r="AB134" s="5" t="str">
        <f t="shared" si="17"/>
        <v/>
      </c>
    </row>
    <row r="135" spans="1:28" x14ac:dyDescent="0.35">
      <c r="A135" s="3"/>
      <c r="C135" s="4" t="str">
        <f t="shared" si="12"/>
        <v/>
      </c>
      <c r="D135" s="4" t="str">
        <f t="shared" si="15"/>
        <v/>
      </c>
      <c r="E135" s="4" t="str">
        <f t="shared" si="13"/>
        <v/>
      </c>
      <c r="F135" s="5" t="str">
        <f>IFERROR(AVERAGE(INDEX(B:B,(ROW()-1)*7+1):INDEX(B:B,ROW()*7)),"")</f>
        <v/>
      </c>
      <c r="G135" s="4" t="str">
        <f t="shared" si="14"/>
        <v/>
      </c>
      <c r="H135" s="18" t="str" cm="1">
        <f t="array" ref="H135">IF(INDEX($B:$B,1+7*ROWS($H$1:H135))="","",INDEX($B:$B,1+7*(ROWS($H$1:H135)-1))-INDEX($B:$B,1+7*ROWS($H$1:H135)))</f>
        <v/>
      </c>
      <c r="AA135" s="5" t="str">
        <f t="shared" si="16"/>
        <v/>
      </c>
      <c r="AB135" s="5" t="str">
        <f t="shared" si="17"/>
        <v/>
      </c>
    </row>
    <row r="136" spans="1:28" x14ac:dyDescent="0.35">
      <c r="A136" s="3"/>
      <c r="C136" s="4" t="str">
        <f t="shared" si="12"/>
        <v/>
      </c>
      <c r="D136" s="4" t="str">
        <f t="shared" si="15"/>
        <v/>
      </c>
      <c r="E136" s="4" t="str">
        <f t="shared" si="13"/>
        <v/>
      </c>
      <c r="F136" s="5" t="str">
        <f>IFERROR(AVERAGE(INDEX(B:B,(ROW()-1)*7+1):INDEX(B:B,ROW()*7)),"")</f>
        <v/>
      </c>
      <c r="G136" s="4" t="str">
        <f t="shared" si="14"/>
        <v/>
      </c>
      <c r="H136" s="18" t="str" cm="1">
        <f t="array" ref="H136">IF(INDEX($B:$B,1+7*ROWS($H$1:H136))="","",INDEX($B:$B,1+7*(ROWS($H$1:H136)-1))-INDEX($B:$B,1+7*ROWS($H$1:H136)))</f>
        <v/>
      </c>
      <c r="AA136" s="5" t="str">
        <f t="shared" si="16"/>
        <v/>
      </c>
      <c r="AB136" s="5" t="str">
        <f t="shared" si="17"/>
        <v/>
      </c>
    </row>
    <row r="137" spans="1:28" x14ac:dyDescent="0.35">
      <c r="A137" s="3"/>
      <c r="C137" s="4" t="str">
        <f t="shared" si="12"/>
        <v/>
      </c>
      <c r="D137" s="4" t="str">
        <f t="shared" si="15"/>
        <v/>
      </c>
      <c r="E137" s="4" t="str">
        <f t="shared" si="13"/>
        <v/>
      </c>
      <c r="F137" s="5" t="str">
        <f>IFERROR(AVERAGE(INDEX(B:B,(ROW()-1)*7+1):INDEX(B:B,ROW()*7)),"")</f>
        <v/>
      </c>
      <c r="G137" s="4" t="str">
        <f t="shared" si="14"/>
        <v/>
      </c>
      <c r="H137" s="18" t="str" cm="1">
        <f t="array" ref="H137">IF(INDEX($B:$B,1+7*ROWS($H$1:H137))="","",INDEX($B:$B,1+7*(ROWS($H$1:H137)-1))-INDEX($B:$B,1+7*ROWS($H$1:H137)))</f>
        <v/>
      </c>
      <c r="AA137" s="5" t="str">
        <f t="shared" si="16"/>
        <v/>
      </c>
      <c r="AB137" s="5" t="str">
        <f t="shared" si="17"/>
        <v/>
      </c>
    </row>
    <row r="138" spans="1:28" x14ac:dyDescent="0.35">
      <c r="A138" s="3"/>
      <c r="C138" s="4" t="str">
        <f t="shared" si="12"/>
        <v/>
      </c>
      <c r="D138" s="4" t="str">
        <f t="shared" si="15"/>
        <v/>
      </c>
      <c r="E138" s="4" t="str">
        <f t="shared" si="13"/>
        <v/>
      </c>
      <c r="F138" s="5" t="str">
        <f>IFERROR(AVERAGE(INDEX(B:B,(ROW()-1)*7+1):INDEX(B:B,ROW()*7)),"")</f>
        <v/>
      </c>
      <c r="G138" s="4" t="str">
        <f t="shared" si="14"/>
        <v/>
      </c>
      <c r="H138" s="18" t="str" cm="1">
        <f t="array" ref="H138">IF(INDEX($B:$B,1+7*ROWS($H$1:H138))="","",INDEX($B:$B,1+7*(ROWS($H$1:H138)-1))-INDEX($B:$B,1+7*ROWS($H$1:H138)))</f>
        <v/>
      </c>
      <c r="AA138" s="5" t="str">
        <f t="shared" si="16"/>
        <v/>
      </c>
      <c r="AB138" s="5" t="str">
        <f t="shared" si="17"/>
        <v/>
      </c>
    </row>
    <row r="139" spans="1:28" x14ac:dyDescent="0.35">
      <c r="A139" s="3"/>
      <c r="C139" s="4" t="str">
        <f t="shared" si="12"/>
        <v/>
      </c>
      <c r="D139" s="4" t="str">
        <f t="shared" si="15"/>
        <v/>
      </c>
      <c r="E139" s="4" t="str">
        <f t="shared" si="13"/>
        <v/>
      </c>
      <c r="F139" s="5" t="str">
        <f>IFERROR(AVERAGE(INDEX(B:B,(ROW()-1)*7+1):INDEX(B:B,ROW()*7)),"")</f>
        <v/>
      </c>
      <c r="G139" s="4" t="str">
        <f t="shared" si="14"/>
        <v/>
      </c>
      <c r="H139" s="18" t="str" cm="1">
        <f t="array" ref="H139">IF(INDEX($B:$B,1+7*ROWS($H$1:H139))="","",INDEX($B:$B,1+7*(ROWS($H$1:H139)-1))-INDEX($B:$B,1+7*ROWS($H$1:H139)))</f>
        <v/>
      </c>
      <c r="AA139" s="5" t="str">
        <f t="shared" si="16"/>
        <v/>
      </c>
      <c r="AB139" s="5" t="str">
        <f t="shared" si="17"/>
        <v/>
      </c>
    </row>
    <row r="140" spans="1:28" x14ac:dyDescent="0.35">
      <c r="A140" s="3"/>
      <c r="C140" s="4" t="str">
        <f t="shared" si="12"/>
        <v/>
      </c>
      <c r="D140" s="4" t="str">
        <f t="shared" si="15"/>
        <v/>
      </c>
      <c r="E140" s="4" t="str">
        <f t="shared" si="13"/>
        <v/>
      </c>
      <c r="F140" s="5" t="str">
        <f>IFERROR(AVERAGE(INDEX(B:B,(ROW()-1)*7+1):INDEX(B:B,ROW()*7)),"")</f>
        <v/>
      </c>
      <c r="G140" s="4" t="str">
        <f t="shared" si="14"/>
        <v/>
      </c>
      <c r="H140" s="18" t="str" cm="1">
        <f t="array" ref="H140">IF(INDEX($B:$B,1+7*ROWS($H$1:H140))="","",INDEX($B:$B,1+7*(ROWS($H$1:H140)-1))-INDEX($B:$B,1+7*ROWS($H$1:H140)))</f>
        <v/>
      </c>
      <c r="AA140" s="5" t="str">
        <f t="shared" si="16"/>
        <v/>
      </c>
      <c r="AB140" s="5" t="str">
        <f t="shared" si="17"/>
        <v/>
      </c>
    </row>
    <row r="141" spans="1:28" x14ac:dyDescent="0.35">
      <c r="A141" s="19"/>
      <c r="C141" s="4" t="str">
        <f t="shared" si="12"/>
        <v/>
      </c>
      <c r="D141" s="4" t="str">
        <f t="shared" si="15"/>
        <v/>
      </c>
      <c r="E141" s="4" t="str">
        <f t="shared" si="13"/>
        <v/>
      </c>
      <c r="F141" s="5" t="str">
        <f>IFERROR(AVERAGE(INDEX(B:B,(ROW()-1)*7+1):INDEX(B:B,ROW()*7)),"")</f>
        <v/>
      </c>
      <c r="G141" s="4" t="str">
        <f t="shared" si="14"/>
        <v/>
      </c>
      <c r="H141" s="18" t="str" cm="1">
        <f t="array" ref="H141">IF(INDEX($B:$B,1+7*ROWS($H$1:H141))="","",INDEX($B:$B,1+7*(ROWS($H$1:H141)-1))-INDEX($B:$B,1+7*ROWS($H$1:H141)))</f>
        <v/>
      </c>
      <c r="AA141" s="5" t="str">
        <f t="shared" si="16"/>
        <v/>
      </c>
      <c r="AB141" s="5" t="str">
        <f t="shared" si="17"/>
        <v/>
      </c>
    </row>
    <row r="142" spans="1:28" x14ac:dyDescent="0.35">
      <c r="A142" s="3"/>
      <c r="C142" s="4" t="str">
        <f t="shared" si="12"/>
        <v/>
      </c>
      <c r="D142" s="4" t="str">
        <f t="shared" si="15"/>
        <v/>
      </c>
      <c r="E142" s="4" t="str">
        <f t="shared" si="13"/>
        <v/>
      </c>
      <c r="F142" s="5" t="str">
        <f>IFERROR(AVERAGE(INDEX(B:B,(ROW()-1)*7+1):INDEX(B:B,ROW()*7)),"")</f>
        <v/>
      </c>
      <c r="G142" s="4" t="str">
        <f t="shared" si="14"/>
        <v/>
      </c>
      <c r="H142" s="18" t="str" cm="1">
        <f t="array" ref="H142">IF(INDEX($B:$B,1+7*ROWS($H$1:H142))="","",INDEX($B:$B,1+7*(ROWS($H$1:H142)-1))-INDEX($B:$B,1+7*ROWS($H$1:H142)))</f>
        <v/>
      </c>
      <c r="AA142" s="5" t="str">
        <f t="shared" si="16"/>
        <v/>
      </c>
      <c r="AB142" s="5" t="str">
        <f t="shared" si="17"/>
        <v/>
      </c>
    </row>
    <row r="143" spans="1:28" x14ac:dyDescent="0.35">
      <c r="A143" s="3"/>
      <c r="C143" s="4" t="str">
        <f t="shared" si="12"/>
        <v/>
      </c>
      <c r="D143" s="4" t="str">
        <f t="shared" si="15"/>
        <v/>
      </c>
      <c r="E143" s="4" t="str">
        <f t="shared" si="13"/>
        <v/>
      </c>
      <c r="F143" s="5" t="str">
        <f>IFERROR(AVERAGE(INDEX(B:B,(ROW()-1)*7+1):INDEX(B:B,ROW()*7)),"")</f>
        <v/>
      </c>
      <c r="G143" s="4" t="str">
        <f t="shared" si="14"/>
        <v/>
      </c>
      <c r="H143" s="18" t="str" cm="1">
        <f t="array" ref="H143">IF(INDEX($B:$B,1+7*ROWS($H$1:H143))="","",INDEX($B:$B,1+7*(ROWS($H$1:H143)-1))-INDEX($B:$B,1+7*ROWS($H$1:H143)))</f>
        <v/>
      </c>
      <c r="AA143" s="5" t="str">
        <f t="shared" si="16"/>
        <v/>
      </c>
      <c r="AB143" s="5" t="str">
        <f t="shared" si="17"/>
        <v/>
      </c>
    </row>
    <row r="144" spans="1:28" x14ac:dyDescent="0.35">
      <c r="A144" s="3"/>
      <c r="C144" s="4" t="str">
        <f t="shared" si="12"/>
        <v/>
      </c>
      <c r="D144" s="4" t="str">
        <f t="shared" si="15"/>
        <v/>
      </c>
      <c r="E144" s="4" t="str">
        <f t="shared" si="13"/>
        <v/>
      </c>
      <c r="F144" s="5" t="str">
        <f>IFERROR(AVERAGE(INDEX(B:B,(ROW()-1)*7+1):INDEX(B:B,ROW()*7)),"")</f>
        <v/>
      </c>
      <c r="G144" s="4" t="str">
        <f t="shared" si="14"/>
        <v/>
      </c>
      <c r="H144" s="18" t="str" cm="1">
        <f t="array" ref="H144">IF(INDEX($B:$B,1+7*ROWS($H$1:H144))="","",INDEX($B:$B,1+7*(ROWS($H$1:H144)-1))-INDEX($B:$B,1+7*ROWS($H$1:H144)))</f>
        <v/>
      </c>
      <c r="AA144" s="5" t="str">
        <f t="shared" si="16"/>
        <v/>
      </c>
      <c r="AB144" s="5" t="str">
        <f t="shared" si="17"/>
        <v/>
      </c>
    </row>
    <row r="145" spans="1:28" x14ac:dyDescent="0.35">
      <c r="A145" s="3"/>
      <c r="C145" s="4" t="str">
        <f t="shared" si="12"/>
        <v/>
      </c>
      <c r="D145" s="4" t="str">
        <f t="shared" si="15"/>
        <v/>
      </c>
      <c r="E145" s="4" t="str">
        <f t="shared" si="13"/>
        <v/>
      </c>
      <c r="F145" s="5" t="str">
        <f>IFERROR(AVERAGE(INDEX(B:B,(ROW()-1)*7+1):INDEX(B:B,ROW()*7)),"")</f>
        <v/>
      </c>
      <c r="G145" s="4" t="str">
        <f t="shared" si="14"/>
        <v/>
      </c>
      <c r="H145" s="18" t="str" cm="1">
        <f t="array" ref="H145">IF(INDEX($B:$B,1+7*ROWS($H$1:H145))="","",INDEX($B:$B,1+7*(ROWS($H$1:H145)-1))-INDEX($B:$B,1+7*ROWS($H$1:H145)))</f>
        <v/>
      </c>
      <c r="AA145" s="5" t="str">
        <f t="shared" si="16"/>
        <v/>
      </c>
      <c r="AB145" s="5" t="str">
        <f t="shared" si="17"/>
        <v/>
      </c>
    </row>
    <row r="146" spans="1:28" x14ac:dyDescent="0.35">
      <c r="A146" s="3"/>
      <c r="C146" s="4" t="str">
        <f t="shared" si="12"/>
        <v/>
      </c>
      <c r="D146" s="4" t="str">
        <f t="shared" si="15"/>
        <v/>
      </c>
      <c r="E146" s="4" t="str">
        <f t="shared" si="13"/>
        <v/>
      </c>
      <c r="F146" s="5" t="str">
        <f>IFERROR(AVERAGE(INDEX(B:B,(ROW()-1)*7+1):INDEX(B:B,ROW()*7)),"")</f>
        <v/>
      </c>
      <c r="G146" s="4" t="str">
        <f t="shared" si="14"/>
        <v/>
      </c>
      <c r="H146" s="18" t="str" cm="1">
        <f t="array" ref="H146">IF(INDEX($B:$B,1+7*ROWS($H$1:H146))="","",INDEX($B:$B,1+7*(ROWS($H$1:H146)-1))-INDEX($B:$B,1+7*ROWS($H$1:H146)))</f>
        <v/>
      </c>
      <c r="AA146" s="5" t="str">
        <f t="shared" si="16"/>
        <v/>
      </c>
      <c r="AB146" s="5" t="str">
        <f t="shared" si="17"/>
        <v/>
      </c>
    </row>
    <row r="147" spans="1:28" x14ac:dyDescent="0.35">
      <c r="A147" s="3"/>
      <c r="C147" s="4" t="str">
        <f t="shared" si="12"/>
        <v/>
      </c>
      <c r="D147" s="4" t="str">
        <f t="shared" si="15"/>
        <v/>
      </c>
      <c r="E147" s="4" t="str">
        <f t="shared" si="13"/>
        <v/>
      </c>
      <c r="F147" s="5" t="str">
        <f>IFERROR(AVERAGE(INDEX(B:B,(ROW()-1)*7+1):INDEX(B:B,ROW()*7)),"")</f>
        <v/>
      </c>
      <c r="G147" s="4" t="str">
        <f t="shared" si="14"/>
        <v/>
      </c>
      <c r="H147" s="18" t="str" cm="1">
        <f t="array" ref="H147">IF(INDEX($B:$B,1+7*ROWS($H$1:H147))="","",INDEX($B:$B,1+7*(ROWS($H$1:H147)-1))-INDEX($B:$B,1+7*ROWS($H$1:H147)))</f>
        <v/>
      </c>
      <c r="AA147" s="5" t="str">
        <f t="shared" si="16"/>
        <v/>
      </c>
      <c r="AB147" s="5" t="str">
        <f t="shared" si="17"/>
        <v/>
      </c>
    </row>
    <row r="148" spans="1:28" x14ac:dyDescent="0.35">
      <c r="A148" s="19"/>
      <c r="C148" s="4" t="str">
        <f t="shared" si="12"/>
        <v/>
      </c>
      <c r="D148" s="4" t="str">
        <f t="shared" si="15"/>
        <v/>
      </c>
      <c r="E148" s="4" t="str">
        <f t="shared" si="13"/>
        <v/>
      </c>
      <c r="F148" s="5" t="str">
        <f>IFERROR(AVERAGE(INDEX(B:B,(ROW()-1)*7+1):INDEX(B:B,ROW()*7)),"")</f>
        <v/>
      </c>
      <c r="G148" s="4" t="str">
        <f t="shared" si="14"/>
        <v/>
      </c>
      <c r="H148" s="18" t="str" cm="1">
        <f t="array" ref="H148">IF(INDEX($B:$B,1+7*ROWS($H$1:H148))="","",INDEX($B:$B,1+7*(ROWS($H$1:H148)-1))-INDEX($B:$B,1+7*ROWS($H$1:H148)))</f>
        <v/>
      </c>
      <c r="AA148" s="5" t="str">
        <f t="shared" si="16"/>
        <v/>
      </c>
      <c r="AB148" s="5" t="str">
        <f t="shared" si="17"/>
        <v/>
      </c>
    </row>
    <row r="149" spans="1:28" x14ac:dyDescent="0.35">
      <c r="A149" s="3"/>
      <c r="C149" s="4" t="str">
        <f t="shared" si="12"/>
        <v/>
      </c>
      <c r="D149" s="4" t="str">
        <f t="shared" si="15"/>
        <v/>
      </c>
      <c r="E149" s="4" t="str">
        <f t="shared" si="13"/>
        <v/>
      </c>
      <c r="F149" s="5" t="str">
        <f>IFERROR(AVERAGE(INDEX(B:B,(ROW()-1)*7+1):INDEX(B:B,ROW()*7)),"")</f>
        <v/>
      </c>
      <c r="G149" s="4" t="str">
        <f t="shared" si="14"/>
        <v/>
      </c>
      <c r="H149" s="18" t="str" cm="1">
        <f t="array" ref="H149">IF(INDEX($B:$B,1+7*ROWS($H$1:H149))="","",INDEX($B:$B,1+7*(ROWS($H$1:H149)-1))-INDEX($B:$B,1+7*ROWS($H$1:H149)))</f>
        <v/>
      </c>
      <c r="AA149" s="5" t="str">
        <f t="shared" si="16"/>
        <v/>
      </c>
      <c r="AB149" s="5" t="str">
        <f t="shared" si="17"/>
        <v/>
      </c>
    </row>
    <row r="150" spans="1:28" x14ac:dyDescent="0.35">
      <c r="A150" s="3"/>
      <c r="C150" s="4" t="str">
        <f t="shared" si="12"/>
        <v/>
      </c>
      <c r="D150" s="4" t="str">
        <f t="shared" si="15"/>
        <v/>
      </c>
      <c r="E150" s="4" t="str">
        <f t="shared" si="13"/>
        <v/>
      </c>
      <c r="F150" s="5" t="str">
        <f>IFERROR(AVERAGE(INDEX(B:B,(ROW()-1)*7+1):INDEX(B:B,ROW()*7)),"")</f>
        <v/>
      </c>
      <c r="G150" s="4" t="str">
        <f t="shared" si="14"/>
        <v/>
      </c>
      <c r="H150" s="18" t="str" cm="1">
        <f t="array" ref="H150">IF(INDEX($B:$B,1+7*ROWS($H$1:H150))="","",INDEX($B:$B,1+7*(ROWS($H$1:H150)-1))-INDEX($B:$B,1+7*ROWS($H$1:H150)))</f>
        <v/>
      </c>
      <c r="AA150" s="5" t="str">
        <f t="shared" si="16"/>
        <v/>
      </c>
      <c r="AB150" s="5" t="str">
        <f t="shared" si="17"/>
        <v/>
      </c>
    </row>
    <row r="151" spans="1:28" x14ac:dyDescent="0.35">
      <c r="A151" s="3"/>
      <c r="C151" s="4" t="str">
        <f t="shared" si="12"/>
        <v/>
      </c>
      <c r="D151" s="4" t="str">
        <f t="shared" si="15"/>
        <v/>
      </c>
      <c r="E151" s="4" t="str">
        <f t="shared" si="13"/>
        <v/>
      </c>
      <c r="F151" s="5" t="str">
        <f>IFERROR(AVERAGE(INDEX(B:B,(ROW()-1)*7+1):INDEX(B:B,ROW()*7)),"")</f>
        <v/>
      </c>
      <c r="G151" s="4" t="str">
        <f t="shared" si="14"/>
        <v/>
      </c>
      <c r="H151" s="18" t="str" cm="1">
        <f t="array" ref="H151">IF(INDEX($B:$B,1+7*ROWS($H$1:H151))="","",INDEX($B:$B,1+7*(ROWS($H$1:H151)-1))-INDEX($B:$B,1+7*ROWS($H$1:H151)))</f>
        <v/>
      </c>
      <c r="AA151" s="5" t="str">
        <f t="shared" si="16"/>
        <v/>
      </c>
      <c r="AB151" s="5" t="str">
        <f t="shared" si="17"/>
        <v/>
      </c>
    </row>
    <row r="152" spans="1:28" x14ac:dyDescent="0.35">
      <c r="A152" s="3"/>
      <c r="C152" s="4" t="str">
        <f t="shared" si="12"/>
        <v/>
      </c>
      <c r="D152" s="4" t="str">
        <f t="shared" si="15"/>
        <v/>
      </c>
      <c r="E152" s="4" t="str">
        <f t="shared" si="13"/>
        <v/>
      </c>
      <c r="F152" s="5" t="str">
        <f>IFERROR(AVERAGE(INDEX(B:B,(ROW()-1)*7+1):INDEX(B:B,ROW()*7)),"")</f>
        <v/>
      </c>
      <c r="G152" s="4" t="str">
        <f t="shared" si="14"/>
        <v/>
      </c>
      <c r="H152" s="18" t="str" cm="1">
        <f t="array" ref="H152">IF(INDEX($B:$B,1+7*ROWS($H$1:H152))="","",INDEX($B:$B,1+7*(ROWS($H$1:H152)-1))-INDEX($B:$B,1+7*ROWS($H$1:H152)))</f>
        <v/>
      </c>
      <c r="AA152" s="5" t="str">
        <f t="shared" si="16"/>
        <v/>
      </c>
      <c r="AB152" s="5" t="str">
        <f t="shared" si="17"/>
        <v/>
      </c>
    </row>
    <row r="153" spans="1:28" x14ac:dyDescent="0.35">
      <c r="A153" s="3"/>
      <c r="C153" s="4" t="str">
        <f t="shared" si="12"/>
        <v/>
      </c>
      <c r="D153" s="4" t="str">
        <f t="shared" si="15"/>
        <v/>
      </c>
      <c r="E153" s="4" t="str">
        <f t="shared" si="13"/>
        <v/>
      </c>
      <c r="F153" s="5" t="str">
        <f>IFERROR(AVERAGE(INDEX(B:B,(ROW()-1)*7+1):INDEX(B:B,ROW()*7)),"")</f>
        <v/>
      </c>
      <c r="G153" s="4" t="str">
        <f t="shared" si="14"/>
        <v/>
      </c>
      <c r="H153" s="18" t="str" cm="1">
        <f t="array" ref="H153">IF(INDEX($B:$B,1+7*ROWS($H$1:H153))="","",INDEX($B:$B,1+7*(ROWS($H$1:H153)-1))-INDEX($B:$B,1+7*ROWS($H$1:H153)))</f>
        <v/>
      </c>
      <c r="AA153" s="5" t="str">
        <f t="shared" si="16"/>
        <v/>
      </c>
      <c r="AB153" s="5" t="str">
        <f t="shared" si="17"/>
        <v/>
      </c>
    </row>
    <row r="154" spans="1:28" x14ac:dyDescent="0.35">
      <c r="A154" s="3"/>
      <c r="C154" s="4" t="str">
        <f t="shared" si="12"/>
        <v/>
      </c>
      <c r="D154" s="4" t="str">
        <f t="shared" si="15"/>
        <v/>
      </c>
      <c r="E154" s="4" t="str">
        <f t="shared" si="13"/>
        <v/>
      </c>
      <c r="F154" s="5" t="str">
        <f>IFERROR(AVERAGE(INDEX(B:B,(ROW()-1)*7+1):INDEX(B:B,ROW()*7)),"")</f>
        <v/>
      </c>
      <c r="G154" s="4" t="str">
        <f t="shared" si="14"/>
        <v/>
      </c>
      <c r="H154" s="18" t="str" cm="1">
        <f t="array" ref="H154">IF(INDEX($B:$B,1+7*ROWS($H$1:H154))="","",INDEX($B:$B,1+7*(ROWS($H$1:H154)-1))-INDEX($B:$B,1+7*ROWS($H$1:H154)))</f>
        <v/>
      </c>
      <c r="AA154" s="5" t="str">
        <f t="shared" si="16"/>
        <v/>
      </c>
      <c r="AB154" s="5" t="str">
        <f t="shared" si="17"/>
        <v/>
      </c>
    </row>
    <row r="155" spans="1:28" x14ac:dyDescent="0.35">
      <c r="A155" s="19"/>
      <c r="C155" s="4" t="str">
        <f t="shared" si="12"/>
        <v/>
      </c>
      <c r="D155" s="4" t="str">
        <f t="shared" si="15"/>
        <v/>
      </c>
      <c r="E155" s="4" t="str">
        <f t="shared" si="13"/>
        <v/>
      </c>
      <c r="F155" s="5" t="str">
        <f>IFERROR(AVERAGE(INDEX(B:B,(ROW()-1)*7+1):INDEX(B:B,ROW()*7)),"")</f>
        <v/>
      </c>
      <c r="G155" s="4" t="str">
        <f t="shared" si="14"/>
        <v/>
      </c>
      <c r="H155" s="18" t="str" cm="1">
        <f t="array" ref="H155">IF(INDEX($B:$B,1+7*ROWS($H$1:H155))="","",INDEX($B:$B,1+7*(ROWS($H$1:H155)-1))-INDEX($B:$B,1+7*ROWS($H$1:H155)))</f>
        <v/>
      </c>
      <c r="AA155" s="5" t="str">
        <f t="shared" si="16"/>
        <v/>
      </c>
      <c r="AB155" s="5" t="str">
        <f t="shared" si="17"/>
        <v/>
      </c>
    </row>
    <row r="156" spans="1:28" x14ac:dyDescent="0.35">
      <c r="A156" s="3"/>
      <c r="C156" s="4" t="str">
        <f t="shared" si="12"/>
        <v/>
      </c>
      <c r="D156" s="4" t="str">
        <f t="shared" si="15"/>
        <v/>
      </c>
      <c r="E156" s="4" t="str">
        <f t="shared" si="13"/>
        <v/>
      </c>
      <c r="F156" s="5" t="str">
        <f>IFERROR(AVERAGE(INDEX(B:B,(ROW()-1)*7+1):INDEX(B:B,ROW()*7)),"")</f>
        <v/>
      </c>
      <c r="G156" s="4" t="str">
        <f t="shared" si="14"/>
        <v/>
      </c>
      <c r="H156" s="18" t="str" cm="1">
        <f t="array" ref="H156">IF(INDEX($B:$B,1+7*ROWS($H$1:H156))="","",INDEX($B:$B,1+7*(ROWS($H$1:H156)-1))-INDEX($B:$B,1+7*ROWS($H$1:H156)))</f>
        <v/>
      </c>
      <c r="AA156" s="5" t="str">
        <f t="shared" si="16"/>
        <v/>
      </c>
      <c r="AB156" s="5" t="str">
        <f t="shared" si="17"/>
        <v/>
      </c>
    </row>
    <row r="157" spans="1:28" x14ac:dyDescent="0.35">
      <c r="A157" s="3"/>
      <c r="C157" s="4" t="str">
        <f t="shared" si="12"/>
        <v/>
      </c>
      <c r="D157" s="4" t="str">
        <f t="shared" si="15"/>
        <v/>
      </c>
      <c r="E157" s="4" t="str">
        <f t="shared" si="13"/>
        <v/>
      </c>
      <c r="F157" s="5" t="str">
        <f>IFERROR(AVERAGE(INDEX(B:B,(ROW()-1)*7+1):INDEX(B:B,ROW()*7)),"")</f>
        <v/>
      </c>
      <c r="G157" s="4" t="str">
        <f t="shared" si="14"/>
        <v/>
      </c>
      <c r="H157" s="18" t="str" cm="1">
        <f t="array" ref="H157">IF(INDEX($B:$B,1+7*ROWS($H$1:H157))="","",INDEX($B:$B,1+7*(ROWS($H$1:H157)-1))-INDEX($B:$B,1+7*ROWS($H$1:H157)))</f>
        <v/>
      </c>
      <c r="AA157" s="5" t="str">
        <f t="shared" si="16"/>
        <v/>
      </c>
      <c r="AB157" s="5" t="str">
        <f t="shared" si="17"/>
        <v/>
      </c>
    </row>
    <row r="158" spans="1:28" x14ac:dyDescent="0.35">
      <c r="A158" s="3"/>
      <c r="C158" s="4" t="str">
        <f t="shared" si="12"/>
        <v/>
      </c>
      <c r="D158" s="4" t="str">
        <f t="shared" si="15"/>
        <v/>
      </c>
      <c r="E158" s="4" t="str">
        <f t="shared" si="13"/>
        <v/>
      </c>
      <c r="F158" s="5" t="str">
        <f>IFERROR(AVERAGE(INDEX(B:B,(ROW()-1)*7+1):INDEX(B:B,ROW()*7)),"")</f>
        <v/>
      </c>
      <c r="G158" s="4" t="str">
        <f t="shared" si="14"/>
        <v/>
      </c>
      <c r="H158" s="18" t="str" cm="1">
        <f t="array" ref="H158">IF(INDEX($B:$B,1+7*ROWS($H$1:H158))="","",INDEX($B:$B,1+7*(ROWS($H$1:H158)-1))-INDEX($B:$B,1+7*ROWS($H$1:H158)))</f>
        <v/>
      </c>
      <c r="AA158" s="5" t="str">
        <f t="shared" si="16"/>
        <v/>
      </c>
      <c r="AB158" s="5" t="str">
        <f t="shared" si="17"/>
        <v/>
      </c>
    </row>
    <row r="159" spans="1:28" x14ac:dyDescent="0.35">
      <c r="A159" s="3"/>
      <c r="C159" s="4" t="str">
        <f t="shared" si="12"/>
        <v/>
      </c>
      <c r="D159" s="4" t="str">
        <f t="shared" si="15"/>
        <v/>
      </c>
      <c r="E159" s="4" t="str">
        <f t="shared" si="13"/>
        <v/>
      </c>
      <c r="F159" s="5" t="str">
        <f>IFERROR(AVERAGE(INDEX(B:B,(ROW()-1)*7+1):INDEX(B:B,ROW()*7)),"")</f>
        <v/>
      </c>
      <c r="G159" s="4" t="str">
        <f t="shared" si="14"/>
        <v/>
      </c>
      <c r="H159" s="18" t="str" cm="1">
        <f t="array" ref="H159">IF(INDEX($B:$B,1+7*ROWS($H$1:H159))="","",INDEX($B:$B,1+7*(ROWS($H$1:H159)-1))-INDEX($B:$B,1+7*ROWS($H$1:H159)))</f>
        <v/>
      </c>
      <c r="AA159" s="5" t="str">
        <f t="shared" si="16"/>
        <v/>
      </c>
      <c r="AB159" s="5" t="str">
        <f t="shared" si="17"/>
        <v/>
      </c>
    </row>
    <row r="160" spans="1:28" x14ac:dyDescent="0.35">
      <c r="A160" s="19"/>
      <c r="C160" s="4" t="str">
        <f t="shared" si="12"/>
        <v/>
      </c>
      <c r="D160" s="4" t="str">
        <f t="shared" si="15"/>
        <v/>
      </c>
      <c r="E160" s="4" t="str">
        <f t="shared" si="13"/>
        <v/>
      </c>
      <c r="F160" s="5" t="str">
        <f>IFERROR(AVERAGE(INDEX(B:B,(ROW()-1)*7+1):INDEX(B:B,ROW()*7)),"")</f>
        <v/>
      </c>
      <c r="G160" s="4" t="str">
        <f t="shared" si="14"/>
        <v/>
      </c>
      <c r="H160" s="18" t="str" cm="1">
        <f t="array" ref="H160">IF(INDEX($B:$B,1+7*ROWS($H$1:H160))="","",INDEX($B:$B,1+7*(ROWS($H$1:H160)-1))-INDEX($B:$B,1+7*ROWS($H$1:H160)))</f>
        <v/>
      </c>
      <c r="AA160" s="5" t="str">
        <f t="shared" si="16"/>
        <v/>
      </c>
      <c r="AB160" s="5" t="str">
        <f t="shared" si="17"/>
        <v/>
      </c>
    </row>
    <row r="161" spans="1:28" x14ac:dyDescent="0.35">
      <c r="A161" s="19"/>
      <c r="C161" s="4" t="str">
        <f t="shared" si="12"/>
        <v/>
      </c>
      <c r="D161" s="4" t="str">
        <f t="shared" si="15"/>
        <v/>
      </c>
      <c r="E161" s="4" t="str">
        <f t="shared" si="13"/>
        <v/>
      </c>
      <c r="F161" s="5" t="str">
        <f>IFERROR(AVERAGE(INDEX(B:B,(ROW()-1)*7+1):INDEX(B:B,ROW()*7)),"")</f>
        <v/>
      </c>
      <c r="G161" s="4" t="str">
        <f t="shared" si="14"/>
        <v/>
      </c>
      <c r="H161" s="18" t="str" cm="1">
        <f t="array" ref="H161">IF(INDEX($B:$B,1+7*ROWS($H$1:H161))="","",INDEX($B:$B,1+7*(ROWS($H$1:H161)-1))-INDEX($B:$B,1+7*ROWS($H$1:H161)))</f>
        <v/>
      </c>
      <c r="AA161" s="5" t="str">
        <f t="shared" si="16"/>
        <v/>
      </c>
      <c r="AB161" s="5" t="str">
        <f t="shared" si="17"/>
        <v/>
      </c>
    </row>
    <row r="162" spans="1:28" x14ac:dyDescent="0.35">
      <c r="A162" s="3"/>
      <c r="C162" s="4" t="str">
        <f t="shared" si="12"/>
        <v/>
      </c>
      <c r="D162" s="4" t="str">
        <f t="shared" si="15"/>
        <v/>
      </c>
      <c r="E162" s="4" t="str">
        <f t="shared" si="13"/>
        <v/>
      </c>
      <c r="F162" s="5" t="str">
        <f>IFERROR(AVERAGE(INDEX(B:B,(ROW()-1)*7+1):INDEX(B:B,ROW()*7)),"")</f>
        <v/>
      </c>
      <c r="G162" s="4" t="str">
        <f t="shared" si="14"/>
        <v/>
      </c>
      <c r="H162" s="18" t="str" cm="1">
        <f t="array" ref="H162">IF(INDEX($B:$B,1+7*ROWS($H$1:H162))="","",INDEX($B:$B,1+7*(ROWS($H$1:H162)-1))-INDEX($B:$B,1+7*ROWS($H$1:H162)))</f>
        <v/>
      </c>
      <c r="AA162" s="5" t="str">
        <f t="shared" si="16"/>
        <v/>
      </c>
      <c r="AB162" s="5" t="str">
        <f t="shared" si="17"/>
        <v/>
      </c>
    </row>
    <row r="163" spans="1:28" x14ac:dyDescent="0.35">
      <c r="A163" s="3"/>
      <c r="C163" s="4" t="str">
        <f t="shared" si="12"/>
        <v/>
      </c>
      <c r="D163" s="4" t="str">
        <f t="shared" si="15"/>
        <v/>
      </c>
      <c r="E163" s="4" t="str">
        <f t="shared" si="13"/>
        <v/>
      </c>
      <c r="F163" s="5" t="str">
        <f>IFERROR(AVERAGE(INDEX(B:B,(ROW()-1)*7+1):INDEX(B:B,ROW()*7)),"")</f>
        <v/>
      </c>
      <c r="G163" s="4" t="str">
        <f t="shared" si="14"/>
        <v/>
      </c>
      <c r="H163" s="18" t="str" cm="1">
        <f t="array" ref="H163">IF(INDEX($B:$B,1+7*ROWS($H$1:H163))="","",INDEX($B:$B,1+7*(ROWS($H$1:H163)-1))-INDEX($B:$B,1+7*ROWS($H$1:H163)))</f>
        <v/>
      </c>
      <c r="AA163" s="5" t="str">
        <f t="shared" si="16"/>
        <v/>
      </c>
      <c r="AB163" s="5" t="str">
        <f t="shared" si="17"/>
        <v/>
      </c>
    </row>
    <row r="164" spans="1:28" x14ac:dyDescent="0.35">
      <c r="A164" s="3"/>
      <c r="C164" s="4" t="str">
        <f t="shared" si="12"/>
        <v/>
      </c>
      <c r="D164" s="4" t="str">
        <f t="shared" si="15"/>
        <v/>
      </c>
      <c r="E164" s="4" t="str">
        <f t="shared" si="13"/>
        <v/>
      </c>
      <c r="F164" s="5" t="str">
        <f>IFERROR(AVERAGE(INDEX(B:B,(ROW()-1)*7+1):INDEX(B:B,ROW()*7)),"")</f>
        <v/>
      </c>
      <c r="G164" s="4" t="str">
        <f t="shared" si="14"/>
        <v/>
      </c>
      <c r="H164" s="18" t="str" cm="1">
        <f t="array" ref="H164">IF(INDEX($B:$B,1+7*ROWS($H$1:H164))="","",INDEX($B:$B,1+7*(ROWS($H$1:H164)-1))-INDEX($B:$B,1+7*ROWS($H$1:H164)))</f>
        <v/>
      </c>
      <c r="AA164" s="5" t="str">
        <f t="shared" si="16"/>
        <v/>
      </c>
      <c r="AB164" s="5" t="str">
        <f t="shared" si="17"/>
        <v/>
      </c>
    </row>
    <row r="165" spans="1:28" x14ac:dyDescent="0.35">
      <c r="A165" s="3"/>
      <c r="C165" s="4" t="str">
        <f t="shared" si="12"/>
        <v/>
      </c>
      <c r="D165" s="4" t="str">
        <f t="shared" si="15"/>
        <v/>
      </c>
      <c r="E165" s="4" t="str">
        <f t="shared" si="13"/>
        <v/>
      </c>
      <c r="F165" s="5" t="str">
        <f>IFERROR(AVERAGE(INDEX(B:B,(ROW()-1)*7+1):INDEX(B:B,ROW()*7)),"")</f>
        <v/>
      </c>
      <c r="G165" s="4" t="str">
        <f t="shared" si="14"/>
        <v/>
      </c>
      <c r="H165" s="18" t="str" cm="1">
        <f t="array" ref="H165">IF(INDEX($B:$B,1+7*ROWS($H$1:H165))="","",INDEX($B:$B,1+7*(ROWS($H$1:H165)-1))-INDEX($B:$B,1+7*ROWS($H$1:H165)))</f>
        <v/>
      </c>
      <c r="AA165" s="5" t="str">
        <f t="shared" si="16"/>
        <v/>
      </c>
      <c r="AB165" s="5" t="str">
        <f t="shared" si="17"/>
        <v/>
      </c>
    </row>
    <row r="166" spans="1:28" x14ac:dyDescent="0.35">
      <c r="A166" s="3"/>
      <c r="C166" s="4" t="str">
        <f t="shared" si="12"/>
        <v/>
      </c>
      <c r="D166" s="4" t="str">
        <f t="shared" si="15"/>
        <v/>
      </c>
      <c r="E166" s="4" t="str">
        <f t="shared" si="13"/>
        <v/>
      </c>
      <c r="F166" s="5" t="str">
        <f>IFERROR(AVERAGE(INDEX(B:B,(ROW()-1)*7+1):INDEX(B:B,ROW()*7)),"")</f>
        <v/>
      </c>
      <c r="G166" s="4" t="str">
        <f t="shared" si="14"/>
        <v/>
      </c>
      <c r="H166" s="18" t="str" cm="1">
        <f t="array" ref="H166">IF(INDEX($B:$B,1+7*ROWS($H$1:H166))="","",INDEX($B:$B,1+7*(ROWS($H$1:H166)-1))-INDEX($B:$B,1+7*ROWS($H$1:H166)))</f>
        <v/>
      </c>
      <c r="AA166" s="5" t="str">
        <f t="shared" si="16"/>
        <v/>
      </c>
      <c r="AB166" s="5" t="str">
        <f t="shared" si="17"/>
        <v/>
      </c>
    </row>
    <row r="167" spans="1:28" x14ac:dyDescent="0.35">
      <c r="A167" s="3"/>
      <c r="C167" s="4" t="str">
        <f t="shared" si="12"/>
        <v/>
      </c>
      <c r="D167" s="4" t="str">
        <f t="shared" si="15"/>
        <v/>
      </c>
      <c r="E167" s="4" t="str">
        <f t="shared" si="13"/>
        <v/>
      </c>
      <c r="F167" s="5" t="str">
        <f>IFERROR(AVERAGE(INDEX(B:B,(ROW()-1)*7+1):INDEX(B:B,ROW()*7)),"")</f>
        <v/>
      </c>
      <c r="G167" s="4" t="str">
        <f t="shared" si="14"/>
        <v/>
      </c>
      <c r="H167" s="18" t="str" cm="1">
        <f t="array" ref="H167">IF(INDEX($B:$B,1+7*ROWS($H$1:H167))="","",INDEX($B:$B,1+7*(ROWS($H$1:H167)-1))-INDEX($B:$B,1+7*ROWS($H$1:H167)))</f>
        <v/>
      </c>
      <c r="AA167" s="5" t="str">
        <f t="shared" si="16"/>
        <v/>
      </c>
      <c r="AB167" s="5" t="str">
        <f t="shared" si="17"/>
        <v/>
      </c>
    </row>
    <row r="168" spans="1:28" x14ac:dyDescent="0.35">
      <c r="A168" s="19"/>
      <c r="C168" s="4" t="str">
        <f t="shared" si="12"/>
        <v/>
      </c>
      <c r="D168" s="4" t="str">
        <f t="shared" si="15"/>
        <v/>
      </c>
      <c r="E168" s="4" t="str">
        <f t="shared" si="13"/>
        <v/>
      </c>
      <c r="F168" s="5" t="str">
        <f>IFERROR(AVERAGE(INDEX(B:B,(ROW()-1)*7+1):INDEX(B:B,ROW()*7)),"")</f>
        <v/>
      </c>
      <c r="G168" s="4" t="str">
        <f t="shared" si="14"/>
        <v/>
      </c>
      <c r="H168" s="18" t="str" cm="1">
        <f t="array" ref="H168">IF(INDEX($B:$B,1+7*ROWS($H$1:H168))="","",INDEX($B:$B,1+7*(ROWS($H$1:H168)-1))-INDEX($B:$B,1+7*ROWS($H$1:H168)))</f>
        <v/>
      </c>
      <c r="AA168" s="5" t="str">
        <f t="shared" si="16"/>
        <v/>
      </c>
      <c r="AB168" s="5" t="str">
        <f t="shared" si="17"/>
        <v/>
      </c>
    </row>
    <row r="169" spans="1:28" x14ac:dyDescent="0.35">
      <c r="A169" s="19"/>
      <c r="C169" s="4" t="str">
        <f t="shared" si="12"/>
        <v/>
      </c>
      <c r="D169" s="4" t="str">
        <f t="shared" si="15"/>
        <v/>
      </c>
      <c r="E169" s="4" t="str">
        <f t="shared" si="13"/>
        <v/>
      </c>
      <c r="F169" s="5" t="str">
        <f>IFERROR(AVERAGE(INDEX(B:B,(ROW()-1)*7+1):INDEX(B:B,ROW()*7)),"")</f>
        <v/>
      </c>
      <c r="G169" s="4" t="str">
        <f t="shared" si="14"/>
        <v/>
      </c>
      <c r="H169" s="18" t="str" cm="1">
        <f t="array" ref="H169">IF(INDEX($B:$B,1+7*ROWS($H$1:H169))="","",INDEX($B:$B,1+7*(ROWS($H$1:H169)-1))-INDEX($B:$B,1+7*ROWS($H$1:H169)))</f>
        <v/>
      </c>
      <c r="AA169" s="5" t="str">
        <f t="shared" si="16"/>
        <v/>
      </c>
      <c r="AB169" s="5" t="str">
        <f t="shared" si="17"/>
        <v/>
      </c>
    </row>
    <row r="170" spans="1:28" x14ac:dyDescent="0.35">
      <c r="A170" s="3"/>
      <c r="C170" s="4" t="str">
        <f t="shared" si="12"/>
        <v/>
      </c>
      <c r="D170" s="4" t="str">
        <f t="shared" si="15"/>
        <v/>
      </c>
      <c r="E170" s="4" t="str">
        <f t="shared" si="13"/>
        <v/>
      </c>
      <c r="F170" s="5" t="str">
        <f>IFERROR(AVERAGE(INDEX(B:B,(ROW()-1)*7+1):INDEX(B:B,ROW()*7)),"")</f>
        <v/>
      </c>
      <c r="G170" s="4" t="str">
        <f t="shared" si="14"/>
        <v/>
      </c>
      <c r="H170" s="18" t="str" cm="1">
        <f t="array" ref="H170">IF(INDEX($B:$B,1+7*ROWS($H$1:H170))="","",INDEX($B:$B,1+7*(ROWS($H$1:H170)-1))-INDEX($B:$B,1+7*ROWS($H$1:H170)))</f>
        <v/>
      </c>
      <c r="AA170" s="5" t="str">
        <f t="shared" si="16"/>
        <v/>
      </c>
      <c r="AB170" s="5" t="str">
        <f t="shared" si="17"/>
        <v/>
      </c>
    </row>
    <row r="171" spans="1:28" x14ac:dyDescent="0.35">
      <c r="A171" s="3"/>
      <c r="C171" s="4" t="str">
        <f t="shared" si="12"/>
        <v/>
      </c>
      <c r="D171" s="4" t="str">
        <f t="shared" si="15"/>
        <v/>
      </c>
      <c r="E171" s="4" t="str">
        <f t="shared" si="13"/>
        <v/>
      </c>
      <c r="F171" s="5" t="str">
        <f>IFERROR(AVERAGE(INDEX(B:B,(ROW()-1)*7+1):INDEX(B:B,ROW()*7)),"")</f>
        <v/>
      </c>
      <c r="G171" s="4" t="str">
        <f t="shared" si="14"/>
        <v/>
      </c>
      <c r="H171" s="18" t="str" cm="1">
        <f t="array" ref="H171">IF(INDEX($B:$B,1+7*ROWS($H$1:H171))="","",INDEX($B:$B,1+7*(ROWS($H$1:H171)-1))-INDEX($B:$B,1+7*ROWS($H$1:H171)))</f>
        <v/>
      </c>
      <c r="AA171" s="5" t="str">
        <f t="shared" si="16"/>
        <v/>
      </c>
      <c r="AB171" s="5" t="str">
        <f t="shared" si="17"/>
        <v/>
      </c>
    </row>
    <row r="172" spans="1:28" x14ac:dyDescent="0.35">
      <c r="A172" s="3"/>
      <c r="C172" s="4" t="str">
        <f t="shared" si="12"/>
        <v/>
      </c>
      <c r="D172" s="4" t="str">
        <f t="shared" si="15"/>
        <v/>
      </c>
      <c r="E172" s="4" t="str">
        <f t="shared" si="13"/>
        <v/>
      </c>
      <c r="F172" s="5" t="str">
        <f>IFERROR(AVERAGE(INDEX(B:B,(ROW()-1)*7+1):INDEX(B:B,ROW()*7)),"")</f>
        <v/>
      </c>
      <c r="G172" s="4" t="str">
        <f t="shared" si="14"/>
        <v/>
      </c>
      <c r="H172" s="18" t="str" cm="1">
        <f t="array" ref="H172">IF(INDEX($B:$B,1+7*ROWS($H$1:H172))="","",INDEX($B:$B,1+7*(ROWS($H$1:H172)-1))-INDEX($B:$B,1+7*ROWS($H$1:H172)))</f>
        <v/>
      </c>
      <c r="AA172" s="5" t="str">
        <f t="shared" si="16"/>
        <v/>
      </c>
      <c r="AB172" s="5" t="str">
        <f t="shared" si="17"/>
        <v/>
      </c>
    </row>
    <row r="173" spans="1:28" x14ac:dyDescent="0.35">
      <c r="A173" s="3"/>
      <c r="C173" s="4" t="str">
        <f t="shared" si="12"/>
        <v/>
      </c>
      <c r="D173" s="4" t="str">
        <f t="shared" si="15"/>
        <v/>
      </c>
      <c r="E173" s="4" t="str">
        <f t="shared" si="13"/>
        <v/>
      </c>
      <c r="F173" s="5" t="str">
        <f>IFERROR(AVERAGE(INDEX(B:B,(ROW()-1)*7+1):INDEX(B:B,ROW()*7)),"")</f>
        <v/>
      </c>
      <c r="G173" s="4" t="str">
        <f t="shared" si="14"/>
        <v/>
      </c>
      <c r="H173" s="18" t="str" cm="1">
        <f t="array" ref="H173">IF(INDEX($B:$B,1+7*ROWS($H$1:H173))="","",INDEX($B:$B,1+7*(ROWS($H$1:H173)-1))-INDEX($B:$B,1+7*ROWS($H$1:H173)))</f>
        <v/>
      </c>
      <c r="AA173" s="5" t="str">
        <f t="shared" si="16"/>
        <v/>
      </c>
      <c r="AB173" s="5" t="str">
        <f t="shared" si="17"/>
        <v/>
      </c>
    </row>
    <row r="174" spans="1:28" x14ac:dyDescent="0.35">
      <c r="A174" s="3"/>
      <c r="C174" s="4" t="str">
        <f t="shared" si="12"/>
        <v/>
      </c>
      <c r="D174" s="4" t="str">
        <f t="shared" si="15"/>
        <v/>
      </c>
      <c r="E174" s="4" t="str">
        <f t="shared" si="13"/>
        <v/>
      </c>
      <c r="F174" s="5" t="str">
        <f>IFERROR(AVERAGE(INDEX(B:B,(ROW()-1)*7+1):INDEX(B:B,ROW()*7)),"")</f>
        <v/>
      </c>
      <c r="G174" s="4" t="str">
        <f t="shared" si="14"/>
        <v/>
      </c>
      <c r="H174" s="18" t="str" cm="1">
        <f t="array" ref="H174">IF(INDEX($B:$B,1+7*ROWS($H$1:H174))="","",INDEX($B:$B,1+7*(ROWS($H$1:H174)-1))-INDEX($B:$B,1+7*ROWS($H$1:H174)))</f>
        <v/>
      </c>
      <c r="AA174" s="5" t="str">
        <f t="shared" si="16"/>
        <v/>
      </c>
      <c r="AB174" s="5" t="str">
        <f t="shared" si="17"/>
        <v/>
      </c>
    </row>
    <row r="175" spans="1:28" x14ac:dyDescent="0.35">
      <c r="A175" s="3"/>
      <c r="C175" s="4" t="str">
        <f t="shared" si="12"/>
        <v/>
      </c>
      <c r="D175" s="4" t="str">
        <f t="shared" si="15"/>
        <v/>
      </c>
      <c r="E175" s="4" t="str">
        <f t="shared" si="13"/>
        <v/>
      </c>
      <c r="F175" s="5" t="str">
        <f>IFERROR(AVERAGE(INDEX(B:B,(ROW()-1)*7+1):INDEX(B:B,ROW()*7)),"")</f>
        <v/>
      </c>
      <c r="G175" s="4" t="str">
        <f t="shared" si="14"/>
        <v/>
      </c>
      <c r="H175" s="18" t="str" cm="1">
        <f t="array" ref="H175">IF(INDEX($B:$B,1+7*ROWS($H$1:H175))="","",INDEX($B:$B,1+7*(ROWS($H$1:H175)-1))-INDEX($B:$B,1+7*ROWS($H$1:H175)))</f>
        <v/>
      </c>
      <c r="AA175" s="5" t="str">
        <f t="shared" si="16"/>
        <v/>
      </c>
      <c r="AB175" s="5" t="str">
        <f t="shared" si="17"/>
        <v/>
      </c>
    </row>
    <row r="176" spans="1:28" x14ac:dyDescent="0.35">
      <c r="A176" s="19"/>
      <c r="C176" s="4" t="str">
        <f t="shared" si="12"/>
        <v/>
      </c>
      <c r="D176" s="4" t="str">
        <f t="shared" si="15"/>
        <v/>
      </c>
      <c r="E176" s="4" t="str">
        <f t="shared" si="13"/>
        <v/>
      </c>
      <c r="F176" s="5" t="str">
        <f>IFERROR(AVERAGE(INDEX(B:B,(ROW()-1)*7+1):INDEX(B:B,ROW()*7)),"")</f>
        <v/>
      </c>
      <c r="G176" s="4" t="str">
        <f t="shared" si="14"/>
        <v/>
      </c>
      <c r="H176" s="18" t="str" cm="1">
        <f t="array" ref="H176">IF(INDEX($B:$B,1+7*ROWS($H$1:H176))="","",INDEX($B:$B,1+7*(ROWS($H$1:H176)-1))-INDEX($B:$B,1+7*ROWS($H$1:H176)))</f>
        <v/>
      </c>
      <c r="AA176" s="5" t="str">
        <f t="shared" si="16"/>
        <v/>
      </c>
      <c r="AB176" s="5" t="str">
        <f t="shared" si="17"/>
        <v/>
      </c>
    </row>
    <row r="177" spans="1:28" x14ac:dyDescent="0.35">
      <c r="A177" s="19"/>
      <c r="C177" s="4" t="str">
        <f t="shared" si="12"/>
        <v/>
      </c>
      <c r="D177" s="4" t="str">
        <f t="shared" si="15"/>
        <v/>
      </c>
      <c r="E177" s="4" t="str">
        <f t="shared" si="13"/>
        <v/>
      </c>
      <c r="F177" s="5" t="str">
        <f>IFERROR(AVERAGE(INDEX(B:B,(ROW()-1)*7+1):INDEX(B:B,ROW()*7)),"")</f>
        <v/>
      </c>
      <c r="G177" s="4" t="str">
        <f t="shared" si="14"/>
        <v/>
      </c>
      <c r="H177" s="18" t="str" cm="1">
        <f t="array" ref="H177">IF(INDEX($B:$B,1+7*ROWS($H$1:H177))="","",INDEX($B:$B,1+7*(ROWS($H$1:H177)-1))-INDEX($B:$B,1+7*ROWS($H$1:H177)))</f>
        <v/>
      </c>
      <c r="AA177" s="5" t="str">
        <f t="shared" si="16"/>
        <v/>
      </c>
      <c r="AB177" s="5" t="str">
        <f t="shared" si="17"/>
        <v/>
      </c>
    </row>
    <row r="178" spans="1:28" x14ac:dyDescent="0.35">
      <c r="A178" s="3"/>
      <c r="C178" s="4" t="str">
        <f t="shared" si="12"/>
        <v/>
      </c>
      <c r="D178" s="4" t="str">
        <f t="shared" si="15"/>
        <v/>
      </c>
      <c r="E178" s="4" t="str">
        <f t="shared" si="13"/>
        <v/>
      </c>
      <c r="F178" s="5" t="str">
        <f>IFERROR(AVERAGE(INDEX(B:B,(ROW()-1)*7+1):INDEX(B:B,ROW()*7)),"")</f>
        <v/>
      </c>
      <c r="G178" s="4" t="str">
        <f t="shared" si="14"/>
        <v/>
      </c>
      <c r="H178" s="18" t="str" cm="1">
        <f t="array" ref="H178">IF(INDEX($B:$B,1+7*ROWS($H$1:H178))="","",INDEX($B:$B,1+7*(ROWS($H$1:H178)-1))-INDEX($B:$B,1+7*ROWS($H$1:H178)))</f>
        <v/>
      </c>
      <c r="AA178" s="5" t="str">
        <f t="shared" si="16"/>
        <v/>
      </c>
      <c r="AB178" s="5" t="str">
        <f t="shared" si="17"/>
        <v/>
      </c>
    </row>
    <row r="179" spans="1:28" x14ac:dyDescent="0.35">
      <c r="A179" s="3"/>
      <c r="C179" s="4" t="str">
        <f t="shared" si="12"/>
        <v/>
      </c>
      <c r="D179" s="4" t="str">
        <f t="shared" si="15"/>
        <v/>
      </c>
      <c r="E179" s="4" t="str">
        <f t="shared" si="13"/>
        <v/>
      </c>
      <c r="F179" s="5" t="str">
        <f>IFERROR(AVERAGE(INDEX(B:B,(ROW()-1)*7+1):INDEX(B:B,ROW()*7)),"")</f>
        <v/>
      </c>
      <c r="G179" s="4" t="str">
        <f t="shared" si="14"/>
        <v/>
      </c>
      <c r="H179" s="18" t="str" cm="1">
        <f t="array" ref="H179">IF(INDEX($B:$B,1+7*ROWS($H$1:H179))="","",INDEX($B:$B,1+7*(ROWS($H$1:H179)-1))-INDEX($B:$B,1+7*ROWS($H$1:H179)))</f>
        <v/>
      </c>
      <c r="AA179" s="5" t="str">
        <f t="shared" si="16"/>
        <v/>
      </c>
      <c r="AB179" s="5" t="str">
        <f t="shared" si="17"/>
        <v/>
      </c>
    </row>
    <row r="180" spans="1:28" x14ac:dyDescent="0.35">
      <c r="A180" s="3"/>
      <c r="C180" s="4" t="str">
        <f t="shared" si="12"/>
        <v/>
      </c>
      <c r="D180" s="4" t="str">
        <f t="shared" si="15"/>
        <v/>
      </c>
      <c r="E180" s="4" t="str">
        <f t="shared" si="13"/>
        <v/>
      </c>
      <c r="F180" s="5" t="str">
        <f>IFERROR(AVERAGE(INDEX(B:B,(ROW()-1)*7+1):INDEX(B:B,ROW()*7)),"")</f>
        <v/>
      </c>
      <c r="G180" s="4" t="str">
        <f t="shared" si="14"/>
        <v/>
      </c>
      <c r="H180" s="18" t="str" cm="1">
        <f t="array" ref="H180">IF(INDEX($B:$B,1+7*ROWS($H$1:H180))="","",INDEX($B:$B,1+7*(ROWS($H$1:H180)-1))-INDEX($B:$B,1+7*ROWS($H$1:H180)))</f>
        <v/>
      </c>
      <c r="AA180" s="5" t="str">
        <f t="shared" si="16"/>
        <v/>
      </c>
      <c r="AB180" s="5" t="str">
        <f t="shared" si="17"/>
        <v/>
      </c>
    </row>
    <row r="181" spans="1:28" x14ac:dyDescent="0.35">
      <c r="A181" s="3"/>
      <c r="C181" s="4" t="str">
        <f t="shared" si="12"/>
        <v/>
      </c>
      <c r="D181" s="4" t="str">
        <f t="shared" si="15"/>
        <v/>
      </c>
      <c r="E181" s="4" t="str">
        <f t="shared" si="13"/>
        <v/>
      </c>
      <c r="F181" s="5" t="str">
        <f>IFERROR(AVERAGE(INDEX(B:B,(ROW()-1)*7+1):INDEX(B:B,ROW()*7)),"")</f>
        <v/>
      </c>
      <c r="G181" s="4" t="str">
        <f t="shared" si="14"/>
        <v/>
      </c>
      <c r="H181" s="18" t="str" cm="1">
        <f t="array" ref="H181">IF(INDEX($B:$B,1+7*ROWS($H$1:H181))="","",INDEX($B:$B,1+7*(ROWS($H$1:H181)-1))-INDEX($B:$B,1+7*ROWS($H$1:H181)))</f>
        <v/>
      </c>
      <c r="AA181" s="5" t="str">
        <f t="shared" si="16"/>
        <v/>
      </c>
      <c r="AB181" s="5" t="str">
        <f t="shared" si="17"/>
        <v/>
      </c>
    </row>
    <row r="182" spans="1:28" x14ac:dyDescent="0.35">
      <c r="A182" s="3"/>
      <c r="C182" s="4" t="str">
        <f t="shared" si="12"/>
        <v/>
      </c>
      <c r="D182" s="4" t="str">
        <f t="shared" si="15"/>
        <v/>
      </c>
      <c r="E182" s="4" t="str">
        <f t="shared" si="13"/>
        <v/>
      </c>
      <c r="F182" s="5" t="str">
        <f>IFERROR(AVERAGE(INDEX(B:B,(ROW()-1)*7+1):INDEX(B:B,ROW()*7)),"")</f>
        <v/>
      </c>
      <c r="G182" s="4" t="str">
        <f t="shared" si="14"/>
        <v/>
      </c>
      <c r="H182" s="18" t="str" cm="1">
        <f t="array" ref="H182">IF(INDEX($B:$B,1+7*ROWS($H$1:H182))="","",INDEX($B:$B,1+7*(ROWS($H$1:H182)-1))-INDEX($B:$B,1+7*ROWS($H$1:H182)))</f>
        <v/>
      </c>
      <c r="AA182" s="5" t="str">
        <f t="shared" si="16"/>
        <v/>
      </c>
      <c r="AB182" s="5" t="str">
        <f t="shared" si="17"/>
        <v/>
      </c>
    </row>
    <row r="183" spans="1:28" x14ac:dyDescent="0.35">
      <c r="A183" s="19"/>
      <c r="C183" s="4" t="str">
        <f t="shared" si="12"/>
        <v/>
      </c>
      <c r="D183" s="4" t="str">
        <f t="shared" si="15"/>
        <v/>
      </c>
      <c r="E183" s="4" t="str">
        <f t="shared" si="13"/>
        <v/>
      </c>
      <c r="F183" s="5" t="str">
        <f>IFERROR(AVERAGE(INDEX(B:B,(ROW()-1)*7+1):INDEX(B:B,ROW()*7)),"")</f>
        <v/>
      </c>
      <c r="G183" s="4" t="str">
        <f t="shared" si="14"/>
        <v/>
      </c>
      <c r="H183" s="18" t="str" cm="1">
        <f t="array" ref="H183">IF(INDEX($B:$B,1+7*ROWS($H$1:H183))="","",INDEX($B:$B,1+7*(ROWS($H$1:H183)-1))-INDEX($B:$B,1+7*ROWS($H$1:H183)))</f>
        <v/>
      </c>
      <c r="AA183" s="5" t="str">
        <f t="shared" si="16"/>
        <v/>
      </c>
      <c r="AB183" s="5" t="str">
        <f t="shared" si="17"/>
        <v/>
      </c>
    </row>
    <row r="184" spans="1:28" x14ac:dyDescent="0.35">
      <c r="A184" s="3"/>
      <c r="C184" s="4" t="str">
        <f t="shared" si="12"/>
        <v/>
      </c>
      <c r="D184" s="4" t="str">
        <f t="shared" si="15"/>
        <v/>
      </c>
      <c r="E184" s="4" t="str">
        <f t="shared" si="13"/>
        <v/>
      </c>
      <c r="F184" s="5" t="str">
        <f>IFERROR(AVERAGE(INDEX(B:B,(ROW()-1)*7+1):INDEX(B:B,ROW()*7)),"")</f>
        <v/>
      </c>
      <c r="G184" s="4" t="str">
        <f t="shared" si="14"/>
        <v/>
      </c>
      <c r="H184" s="18" t="str" cm="1">
        <f t="array" ref="H184">IF(INDEX($B:$B,1+7*ROWS($H$1:H184))="","",INDEX($B:$B,1+7*(ROWS($H$1:H184)-1))-INDEX($B:$B,1+7*ROWS($H$1:H184)))</f>
        <v/>
      </c>
      <c r="AA184" s="5" t="str">
        <f t="shared" si="16"/>
        <v/>
      </c>
      <c r="AB184" s="5" t="str">
        <f t="shared" si="17"/>
        <v/>
      </c>
    </row>
    <row r="185" spans="1:28" x14ac:dyDescent="0.35">
      <c r="A185" s="3"/>
      <c r="C185" s="4" t="str">
        <f t="shared" si="12"/>
        <v/>
      </c>
      <c r="D185" s="4" t="str">
        <f t="shared" si="15"/>
        <v/>
      </c>
      <c r="E185" s="4" t="str">
        <f t="shared" si="13"/>
        <v/>
      </c>
      <c r="F185" s="5" t="str">
        <f>IFERROR(AVERAGE(INDEX(B:B,(ROW()-1)*7+1):INDEX(B:B,ROW()*7)),"")</f>
        <v/>
      </c>
      <c r="G185" s="4" t="str">
        <f t="shared" si="14"/>
        <v/>
      </c>
      <c r="H185" s="18" t="str" cm="1">
        <f t="array" ref="H185">IF(INDEX($B:$B,1+7*ROWS($H$1:H185))="","",INDEX($B:$B,1+7*(ROWS($H$1:H185)-1))-INDEX($B:$B,1+7*ROWS($H$1:H185)))</f>
        <v/>
      </c>
      <c r="AA185" s="5" t="str">
        <f t="shared" si="16"/>
        <v/>
      </c>
      <c r="AB185" s="5" t="str">
        <f t="shared" si="17"/>
        <v/>
      </c>
    </row>
    <row r="186" spans="1:28" x14ac:dyDescent="0.35">
      <c r="A186" s="3"/>
      <c r="C186" s="4" t="str">
        <f t="shared" si="12"/>
        <v/>
      </c>
      <c r="D186" s="4" t="str">
        <f t="shared" si="15"/>
        <v/>
      </c>
      <c r="E186" s="4" t="str">
        <f t="shared" si="13"/>
        <v/>
      </c>
      <c r="F186" s="5" t="str">
        <f>IFERROR(AVERAGE(INDEX(B:B,(ROW()-1)*7+1):INDEX(B:B,ROW()*7)),"")</f>
        <v/>
      </c>
      <c r="G186" s="4" t="str">
        <f t="shared" si="14"/>
        <v/>
      </c>
      <c r="H186" s="18" t="str" cm="1">
        <f t="array" ref="H186">IF(INDEX($B:$B,1+7*ROWS($H$1:H186))="","",INDEX($B:$B,1+7*(ROWS($H$1:H186)-1))-INDEX($B:$B,1+7*ROWS($H$1:H186)))</f>
        <v/>
      </c>
      <c r="AA186" s="5" t="str">
        <f t="shared" si="16"/>
        <v/>
      </c>
      <c r="AB186" s="5" t="str">
        <f t="shared" si="17"/>
        <v/>
      </c>
    </row>
    <row r="187" spans="1:28" x14ac:dyDescent="0.35">
      <c r="A187" s="3"/>
      <c r="C187" s="4" t="str">
        <f t="shared" si="12"/>
        <v/>
      </c>
      <c r="D187" s="4" t="str">
        <f t="shared" si="15"/>
        <v/>
      </c>
      <c r="E187" s="4" t="str">
        <f t="shared" si="13"/>
        <v/>
      </c>
      <c r="F187" s="5" t="str">
        <f>IFERROR(AVERAGE(INDEX(B:B,(ROW()-1)*7+1):INDEX(B:B,ROW()*7)),"")</f>
        <v/>
      </c>
      <c r="G187" s="4" t="str">
        <f t="shared" si="14"/>
        <v/>
      </c>
      <c r="H187" s="18" t="str" cm="1">
        <f t="array" ref="H187">IF(INDEX($B:$B,1+7*ROWS($H$1:H187))="","",INDEX($B:$B,1+7*(ROWS($H$1:H187)-1))-INDEX($B:$B,1+7*ROWS($H$1:H187)))</f>
        <v/>
      </c>
      <c r="AA187" s="5" t="str">
        <f t="shared" si="16"/>
        <v/>
      </c>
      <c r="AB187" s="5" t="str">
        <f t="shared" si="17"/>
        <v/>
      </c>
    </row>
    <row r="188" spans="1:28" x14ac:dyDescent="0.35">
      <c r="A188" s="3"/>
      <c r="C188" s="4" t="str">
        <f t="shared" si="12"/>
        <v/>
      </c>
      <c r="D188" s="4" t="str">
        <f t="shared" si="15"/>
        <v/>
      </c>
      <c r="E188" s="4" t="str">
        <f t="shared" si="13"/>
        <v/>
      </c>
      <c r="F188" s="5" t="str">
        <f>IFERROR(AVERAGE(INDEX(B:B,(ROW()-1)*7+1):INDEX(B:B,ROW()*7)),"")</f>
        <v/>
      </c>
      <c r="G188" s="4" t="str">
        <f t="shared" si="14"/>
        <v/>
      </c>
      <c r="H188" s="18" t="str" cm="1">
        <f t="array" ref="H188">IF(INDEX($B:$B,1+7*ROWS($H$1:H188))="","",INDEX($B:$B,1+7*(ROWS($H$1:H188)-1))-INDEX($B:$B,1+7*ROWS($H$1:H188)))</f>
        <v/>
      </c>
      <c r="AA188" s="5" t="str">
        <f t="shared" si="16"/>
        <v/>
      </c>
      <c r="AB188" s="5" t="str">
        <f t="shared" si="17"/>
        <v/>
      </c>
    </row>
    <row r="189" spans="1:28" x14ac:dyDescent="0.35">
      <c r="A189" s="3"/>
      <c r="C189" s="4" t="str">
        <f t="shared" si="12"/>
        <v/>
      </c>
      <c r="D189" s="4" t="str">
        <f t="shared" si="15"/>
        <v/>
      </c>
      <c r="E189" s="4" t="str">
        <f t="shared" si="13"/>
        <v/>
      </c>
      <c r="F189" s="5" t="str">
        <f>IFERROR(AVERAGE(INDEX(B:B,(ROW()-1)*7+1):INDEX(B:B,ROW()*7)),"")</f>
        <v/>
      </c>
      <c r="G189" s="4" t="str">
        <f t="shared" si="14"/>
        <v/>
      </c>
      <c r="H189" s="18" t="str" cm="1">
        <f t="array" ref="H189">IF(INDEX($B:$B,1+7*ROWS($H$1:H189))="","",INDEX($B:$B,1+7*(ROWS($H$1:H189)-1))-INDEX($B:$B,1+7*ROWS($H$1:H189)))</f>
        <v/>
      </c>
      <c r="AA189" s="5" t="str">
        <f t="shared" si="16"/>
        <v/>
      </c>
      <c r="AB189" s="5" t="str">
        <f t="shared" si="17"/>
        <v/>
      </c>
    </row>
    <row r="190" spans="1:28" x14ac:dyDescent="0.35">
      <c r="A190" s="19"/>
      <c r="C190" s="4" t="str">
        <f t="shared" si="12"/>
        <v/>
      </c>
      <c r="D190" s="4" t="str">
        <f t="shared" si="15"/>
        <v/>
      </c>
      <c r="E190" s="4" t="str">
        <f t="shared" si="13"/>
        <v/>
      </c>
      <c r="F190" s="5" t="str">
        <f>IFERROR(AVERAGE(INDEX(B:B,(ROW()-1)*7+1):INDEX(B:B,ROW()*7)),"")</f>
        <v/>
      </c>
      <c r="G190" s="4" t="str">
        <f t="shared" si="14"/>
        <v/>
      </c>
      <c r="H190" s="18" t="str" cm="1">
        <f t="array" ref="H190">IF(INDEX($B:$B,1+7*ROWS($H$1:H190))="","",INDEX($B:$B,1+7*(ROWS($H$1:H190)-1))-INDEX($B:$B,1+7*ROWS($H$1:H190)))</f>
        <v/>
      </c>
      <c r="AA190" s="5" t="str">
        <f t="shared" si="16"/>
        <v/>
      </c>
      <c r="AB190" s="5" t="str">
        <f t="shared" si="17"/>
        <v/>
      </c>
    </row>
    <row r="191" spans="1:28" x14ac:dyDescent="0.35">
      <c r="A191" s="3"/>
      <c r="C191" s="4" t="str">
        <f t="shared" si="12"/>
        <v/>
      </c>
      <c r="D191" s="4" t="str">
        <f t="shared" si="15"/>
        <v/>
      </c>
      <c r="E191" s="4" t="str">
        <f t="shared" si="13"/>
        <v/>
      </c>
      <c r="F191" s="5" t="str">
        <f>IFERROR(AVERAGE(INDEX(B:B,(ROW()-1)*7+1):INDEX(B:B,ROW()*7)),"")</f>
        <v/>
      </c>
      <c r="G191" s="4" t="str">
        <f t="shared" si="14"/>
        <v/>
      </c>
      <c r="H191" s="18" t="str" cm="1">
        <f t="array" ref="H191">IF(INDEX($B:$B,1+7*ROWS($H$1:H191))="","",INDEX($B:$B,1+7*(ROWS($H$1:H191)-1))-INDEX($B:$B,1+7*ROWS($H$1:H191)))</f>
        <v/>
      </c>
      <c r="AA191" s="5" t="str">
        <f t="shared" si="16"/>
        <v/>
      </c>
      <c r="AB191" s="5" t="str">
        <f t="shared" si="17"/>
        <v/>
      </c>
    </row>
    <row r="192" spans="1:28" x14ac:dyDescent="0.35">
      <c r="A192" s="3"/>
      <c r="C192" s="4" t="str">
        <f t="shared" si="12"/>
        <v/>
      </c>
      <c r="D192" s="4" t="str">
        <f t="shared" si="15"/>
        <v/>
      </c>
      <c r="E192" s="4" t="str">
        <f t="shared" si="13"/>
        <v/>
      </c>
      <c r="F192" s="5" t="str">
        <f>IFERROR(AVERAGE(INDEX(B:B,(ROW()-1)*7+1):INDEX(B:B,ROW()*7)),"")</f>
        <v/>
      </c>
      <c r="G192" s="4" t="str">
        <f t="shared" si="14"/>
        <v/>
      </c>
      <c r="H192" s="18" t="str" cm="1">
        <f t="array" ref="H192">IF(INDEX($B:$B,1+7*ROWS($H$1:H192))="","",INDEX($B:$B,1+7*(ROWS($H$1:H192)-1))-INDEX($B:$B,1+7*ROWS($H$1:H192)))</f>
        <v/>
      </c>
      <c r="AA192" s="5" t="str">
        <f t="shared" si="16"/>
        <v/>
      </c>
      <c r="AB192" s="5" t="str">
        <f t="shared" si="17"/>
        <v/>
      </c>
    </row>
    <row r="193" spans="1:28" x14ac:dyDescent="0.35">
      <c r="A193" s="3"/>
      <c r="C193" s="4" t="str">
        <f t="shared" ref="C193:C236" si="18">IF(B193="","",ROW()*$I$15+$J$15)</f>
        <v/>
      </c>
      <c r="D193" s="4" t="str">
        <f t="shared" si="15"/>
        <v/>
      </c>
      <c r="E193" s="4" t="str">
        <f t="shared" ref="E193:E236" si="19">IF(D193="","",ROW()*$I$18+$J$18)</f>
        <v/>
      </c>
      <c r="F193" s="5" t="str">
        <f>IFERROR(AVERAGE(INDEX(B:B,(ROW()-1)*7+1):INDEX(B:B,ROW()*7)),"")</f>
        <v/>
      </c>
      <c r="G193" s="4" t="str">
        <f t="shared" ref="G193:G236" si="20">IF(F193="","",ROW()*$I$21+$J$21)</f>
        <v/>
      </c>
      <c r="H193" s="18" t="str" cm="1">
        <f t="array" ref="H193">IF(INDEX($B:$B,1+7*ROWS($H$1:H193))="","",INDEX($B:$B,1+7*(ROWS($H$1:H193)-1))-INDEX($B:$B,1+7*ROWS($H$1:H193)))</f>
        <v/>
      </c>
      <c r="AA193" s="5" t="str">
        <f t="shared" si="16"/>
        <v/>
      </c>
      <c r="AB193" s="5" t="str">
        <f t="shared" si="17"/>
        <v/>
      </c>
    </row>
    <row r="194" spans="1:28" x14ac:dyDescent="0.35">
      <c r="A194" s="3"/>
      <c r="C194" s="4" t="str">
        <f t="shared" si="18"/>
        <v/>
      </c>
      <c r="D194" s="4" t="str">
        <f t="shared" ref="D194:D236" si="21">IF(B194="","",2*(3*AB194-(ROW()+1)*AA194)/(ROW()*(ROW()+1)))</f>
        <v/>
      </c>
      <c r="E194" s="4" t="str">
        <f t="shared" si="19"/>
        <v/>
      </c>
      <c r="F194" s="5" t="str">
        <f>IFERROR(AVERAGE(INDEX(B:B,(ROW()-1)*7+1):INDEX(B:B,ROW()*7)),"")</f>
        <v/>
      </c>
      <c r="G194" s="4" t="str">
        <f t="shared" si="20"/>
        <v/>
      </c>
      <c r="H194" s="18" t="str" cm="1">
        <f t="array" ref="H194">IF(INDEX($B:$B,1+7*ROWS($H$1:H194))="","",INDEX($B:$B,1+7*(ROWS($H$1:H194)-1))-INDEX($B:$B,1+7*ROWS($H$1:H194)))</f>
        <v/>
      </c>
      <c r="AA194" s="5" t="str">
        <f t="shared" ref="AA194:AA236" si="22">IF(B194="","",IF(AA193="",B194,AA193+B194))</f>
        <v/>
      </c>
      <c r="AB194" s="5" t="str">
        <f t="shared" ref="AB194:AB236" si="23">IF(B194="","",IF(AB193="",ROW()*B194,AB193+ROW()*B194))</f>
        <v/>
      </c>
    </row>
    <row r="195" spans="1:28" x14ac:dyDescent="0.35">
      <c r="A195" s="3"/>
      <c r="C195" s="4" t="str">
        <f t="shared" si="18"/>
        <v/>
      </c>
      <c r="D195" s="4" t="str">
        <f t="shared" si="21"/>
        <v/>
      </c>
      <c r="E195" s="4" t="str">
        <f t="shared" si="19"/>
        <v/>
      </c>
      <c r="F195" s="5" t="str">
        <f>IFERROR(AVERAGE(INDEX(B:B,(ROW()-1)*7+1):INDEX(B:B,ROW()*7)),"")</f>
        <v/>
      </c>
      <c r="G195" s="4" t="str">
        <f t="shared" si="20"/>
        <v/>
      </c>
      <c r="H195" s="18" t="str" cm="1">
        <f t="array" ref="H195">IF(INDEX($B:$B,1+7*ROWS($H$1:H195))="","",INDEX($B:$B,1+7*(ROWS($H$1:H195)-1))-INDEX($B:$B,1+7*ROWS($H$1:H195)))</f>
        <v/>
      </c>
      <c r="AA195" s="5" t="str">
        <f t="shared" si="22"/>
        <v/>
      </c>
      <c r="AB195" s="5" t="str">
        <f t="shared" si="23"/>
        <v/>
      </c>
    </row>
    <row r="196" spans="1:28" x14ac:dyDescent="0.35">
      <c r="A196" s="3"/>
      <c r="C196" s="4" t="str">
        <f t="shared" si="18"/>
        <v/>
      </c>
      <c r="D196" s="4" t="str">
        <f t="shared" si="21"/>
        <v/>
      </c>
      <c r="E196" s="4" t="str">
        <f t="shared" si="19"/>
        <v/>
      </c>
      <c r="F196" s="5" t="str">
        <f>IFERROR(AVERAGE(INDEX(B:B,(ROW()-1)*7+1):INDEX(B:B,ROW()*7)),"")</f>
        <v/>
      </c>
      <c r="G196" s="4" t="str">
        <f t="shared" si="20"/>
        <v/>
      </c>
      <c r="H196" s="18" t="str" cm="1">
        <f t="array" ref="H196">IF(INDEX($B:$B,1+7*ROWS($H$1:H196))="","",INDEX($B:$B,1+7*(ROWS($H$1:H196)-1))-INDEX($B:$B,1+7*ROWS($H$1:H196)))</f>
        <v/>
      </c>
      <c r="AA196" s="5" t="str">
        <f t="shared" si="22"/>
        <v/>
      </c>
      <c r="AB196" s="5" t="str">
        <f t="shared" si="23"/>
        <v/>
      </c>
    </row>
    <row r="197" spans="1:28" x14ac:dyDescent="0.35">
      <c r="A197" s="19"/>
      <c r="C197" s="4" t="str">
        <f t="shared" si="18"/>
        <v/>
      </c>
      <c r="D197" s="4" t="str">
        <f t="shared" si="21"/>
        <v/>
      </c>
      <c r="E197" s="4" t="str">
        <f t="shared" si="19"/>
        <v/>
      </c>
      <c r="F197" s="5" t="str">
        <f>IFERROR(AVERAGE(INDEX(B:B,(ROW()-1)*7+1):INDEX(B:B,ROW()*7)),"")</f>
        <v/>
      </c>
      <c r="G197" s="4" t="str">
        <f t="shared" si="20"/>
        <v/>
      </c>
      <c r="H197" s="18" t="str" cm="1">
        <f t="array" ref="H197">IF(INDEX($B:$B,1+7*ROWS($H$1:H197))="","",INDEX($B:$B,1+7*(ROWS($H$1:H197)-1))-INDEX($B:$B,1+7*ROWS($H$1:H197)))</f>
        <v/>
      </c>
      <c r="AA197" s="5" t="str">
        <f t="shared" si="22"/>
        <v/>
      </c>
      <c r="AB197" s="5" t="str">
        <f t="shared" si="23"/>
        <v/>
      </c>
    </row>
    <row r="198" spans="1:28" x14ac:dyDescent="0.35">
      <c r="A198" s="3"/>
      <c r="C198" s="4" t="str">
        <f t="shared" si="18"/>
        <v/>
      </c>
      <c r="D198" s="4" t="str">
        <f t="shared" si="21"/>
        <v/>
      </c>
      <c r="E198" s="4" t="str">
        <f t="shared" si="19"/>
        <v/>
      </c>
      <c r="F198" s="5" t="str">
        <f>IFERROR(AVERAGE(INDEX(B:B,(ROW()-1)*7+1):INDEX(B:B,ROW()*7)),"")</f>
        <v/>
      </c>
      <c r="G198" s="4" t="str">
        <f t="shared" si="20"/>
        <v/>
      </c>
      <c r="H198" s="18" t="str" cm="1">
        <f t="array" ref="H198">IF(INDEX($B:$B,1+7*ROWS($H$1:H198))="","",INDEX($B:$B,1+7*(ROWS($H$1:H198)-1))-INDEX($B:$B,1+7*ROWS($H$1:H198)))</f>
        <v/>
      </c>
      <c r="AA198" s="5" t="str">
        <f t="shared" si="22"/>
        <v/>
      </c>
      <c r="AB198" s="5" t="str">
        <f t="shared" si="23"/>
        <v/>
      </c>
    </row>
    <row r="199" spans="1:28" x14ac:dyDescent="0.35">
      <c r="A199" s="3"/>
      <c r="C199" s="4" t="str">
        <f t="shared" si="18"/>
        <v/>
      </c>
      <c r="D199" s="4" t="str">
        <f t="shared" si="21"/>
        <v/>
      </c>
      <c r="E199" s="4" t="str">
        <f t="shared" si="19"/>
        <v/>
      </c>
      <c r="F199" s="5" t="str">
        <f>IFERROR(AVERAGE(INDEX(B:B,(ROW()-1)*7+1):INDEX(B:B,ROW()*7)),"")</f>
        <v/>
      </c>
      <c r="G199" s="4" t="str">
        <f t="shared" si="20"/>
        <v/>
      </c>
      <c r="H199" s="18" t="str" cm="1">
        <f t="array" ref="H199">IF(INDEX($B:$B,1+7*ROWS($H$1:H199))="","",INDEX($B:$B,1+7*(ROWS($H$1:H199)-1))-INDEX($B:$B,1+7*ROWS($H$1:H199)))</f>
        <v/>
      </c>
      <c r="AA199" s="5" t="str">
        <f t="shared" si="22"/>
        <v/>
      </c>
      <c r="AB199" s="5" t="str">
        <f t="shared" si="23"/>
        <v/>
      </c>
    </row>
    <row r="200" spans="1:28" x14ac:dyDescent="0.35">
      <c r="A200" s="3"/>
      <c r="C200" s="4" t="str">
        <f t="shared" si="18"/>
        <v/>
      </c>
      <c r="D200" s="4" t="str">
        <f t="shared" si="21"/>
        <v/>
      </c>
      <c r="E200" s="4" t="str">
        <f t="shared" si="19"/>
        <v/>
      </c>
      <c r="F200" s="5" t="str">
        <f>IFERROR(AVERAGE(INDEX(B:B,(ROW()-1)*7+1):INDEX(B:B,ROW()*7)),"")</f>
        <v/>
      </c>
      <c r="G200" s="4" t="str">
        <f t="shared" si="20"/>
        <v/>
      </c>
      <c r="H200" s="18" t="str" cm="1">
        <f t="array" ref="H200">IF(INDEX($B:$B,1+7*ROWS($H$1:H200))="","",INDEX($B:$B,1+7*(ROWS($H$1:H200)-1))-INDEX($B:$B,1+7*ROWS($H$1:H200)))</f>
        <v/>
      </c>
      <c r="AA200" s="5" t="str">
        <f t="shared" si="22"/>
        <v/>
      </c>
      <c r="AB200" s="5" t="str">
        <f t="shared" si="23"/>
        <v/>
      </c>
    </row>
    <row r="201" spans="1:28" x14ac:dyDescent="0.35">
      <c r="A201" s="3"/>
      <c r="C201" s="4" t="str">
        <f t="shared" si="18"/>
        <v/>
      </c>
      <c r="D201" s="4" t="str">
        <f t="shared" si="21"/>
        <v/>
      </c>
      <c r="E201" s="4" t="str">
        <f t="shared" si="19"/>
        <v/>
      </c>
      <c r="F201" s="5" t="str">
        <f>IFERROR(AVERAGE(INDEX(B:B,(ROW()-1)*7+1):INDEX(B:B,ROW()*7)),"")</f>
        <v/>
      </c>
      <c r="G201" s="4" t="str">
        <f t="shared" si="20"/>
        <v/>
      </c>
      <c r="H201" s="18" t="str" cm="1">
        <f t="array" ref="H201">IF(INDEX($B:$B,1+7*ROWS($H$1:H201))="","",INDEX($B:$B,1+7*(ROWS($H$1:H201)-1))-INDEX($B:$B,1+7*ROWS($H$1:H201)))</f>
        <v/>
      </c>
      <c r="AA201" s="5" t="str">
        <f t="shared" si="22"/>
        <v/>
      </c>
      <c r="AB201" s="5" t="str">
        <f t="shared" si="23"/>
        <v/>
      </c>
    </row>
    <row r="202" spans="1:28" x14ac:dyDescent="0.35">
      <c r="A202" s="3"/>
      <c r="C202" s="4" t="str">
        <f t="shared" si="18"/>
        <v/>
      </c>
      <c r="D202" s="4" t="str">
        <f t="shared" si="21"/>
        <v/>
      </c>
      <c r="E202" s="4" t="str">
        <f t="shared" si="19"/>
        <v/>
      </c>
      <c r="F202" s="5" t="str">
        <f>IFERROR(AVERAGE(INDEX(B:B,(ROW()-1)*7+1):INDEX(B:B,ROW()*7)),"")</f>
        <v/>
      </c>
      <c r="G202" s="4" t="str">
        <f t="shared" si="20"/>
        <v/>
      </c>
      <c r="H202" s="18" t="str" cm="1">
        <f t="array" ref="H202">IF(INDEX($B:$B,1+7*ROWS($H$1:H202))="","",INDEX($B:$B,1+7*(ROWS($H$1:H202)-1))-INDEX($B:$B,1+7*ROWS($H$1:H202)))</f>
        <v/>
      </c>
      <c r="AA202" s="5" t="str">
        <f t="shared" si="22"/>
        <v/>
      </c>
      <c r="AB202" s="5" t="str">
        <f t="shared" si="23"/>
        <v/>
      </c>
    </row>
    <row r="203" spans="1:28" x14ac:dyDescent="0.35">
      <c r="A203" s="3"/>
      <c r="C203" s="4" t="str">
        <f t="shared" si="18"/>
        <v/>
      </c>
      <c r="D203" s="4" t="str">
        <f t="shared" si="21"/>
        <v/>
      </c>
      <c r="E203" s="4" t="str">
        <f t="shared" si="19"/>
        <v/>
      </c>
      <c r="F203" s="5" t="str">
        <f>IFERROR(AVERAGE(INDEX(B:B,(ROW()-1)*7+1):INDEX(B:B,ROW()*7)),"")</f>
        <v/>
      </c>
      <c r="G203" s="4" t="str">
        <f t="shared" si="20"/>
        <v/>
      </c>
      <c r="H203" s="18" t="str" cm="1">
        <f t="array" ref="H203">IF(INDEX($B:$B,1+7*ROWS($H$1:H203))="","",INDEX($B:$B,1+7*(ROWS($H$1:H203)-1))-INDEX($B:$B,1+7*ROWS($H$1:H203)))</f>
        <v/>
      </c>
      <c r="AA203" s="5" t="str">
        <f t="shared" si="22"/>
        <v/>
      </c>
      <c r="AB203" s="5" t="str">
        <f t="shared" si="23"/>
        <v/>
      </c>
    </row>
    <row r="204" spans="1:28" x14ac:dyDescent="0.35">
      <c r="A204" s="19"/>
      <c r="C204" s="4" t="str">
        <f t="shared" si="18"/>
        <v/>
      </c>
      <c r="D204" s="4" t="str">
        <f t="shared" si="21"/>
        <v/>
      </c>
      <c r="E204" s="4" t="str">
        <f t="shared" si="19"/>
        <v/>
      </c>
      <c r="F204" s="5" t="str">
        <f>IFERROR(AVERAGE(INDEX(B:B,(ROW()-1)*7+1):INDEX(B:B,ROW()*7)),"")</f>
        <v/>
      </c>
      <c r="G204" s="4" t="str">
        <f t="shared" si="20"/>
        <v/>
      </c>
      <c r="H204" s="18" t="str" cm="1">
        <f t="array" ref="H204">IF(INDEX($B:$B,1+7*ROWS($H$1:H204))="","",INDEX($B:$B,1+7*(ROWS($H$1:H204)-1))-INDEX($B:$B,1+7*ROWS($H$1:H204)))</f>
        <v/>
      </c>
      <c r="AA204" s="5" t="str">
        <f t="shared" si="22"/>
        <v/>
      </c>
      <c r="AB204" s="5" t="str">
        <f t="shared" si="23"/>
        <v/>
      </c>
    </row>
    <row r="205" spans="1:28" x14ac:dyDescent="0.35">
      <c r="A205" s="3"/>
      <c r="C205" s="4" t="str">
        <f t="shared" si="18"/>
        <v/>
      </c>
      <c r="D205" s="4" t="str">
        <f t="shared" si="21"/>
        <v/>
      </c>
      <c r="E205" s="4" t="str">
        <f t="shared" si="19"/>
        <v/>
      </c>
      <c r="F205" s="5" t="str">
        <f>IFERROR(AVERAGE(INDEX(B:B,(ROW()-1)*7+1):INDEX(B:B,ROW()*7)),"")</f>
        <v/>
      </c>
      <c r="G205" s="4" t="str">
        <f t="shared" si="20"/>
        <v/>
      </c>
      <c r="H205" s="18" t="str" cm="1">
        <f t="array" ref="H205">IF(INDEX($B:$B,1+7*ROWS($H$1:H205))="","",INDEX($B:$B,1+7*(ROWS($H$1:H205)-1))-INDEX($B:$B,1+7*ROWS($H$1:H205)))</f>
        <v/>
      </c>
      <c r="AA205" s="5" t="str">
        <f t="shared" si="22"/>
        <v/>
      </c>
      <c r="AB205" s="5" t="str">
        <f t="shared" si="23"/>
        <v/>
      </c>
    </row>
    <row r="206" spans="1:28" x14ac:dyDescent="0.35">
      <c r="A206" s="3"/>
      <c r="C206" s="4" t="str">
        <f t="shared" si="18"/>
        <v/>
      </c>
      <c r="D206" s="4" t="str">
        <f t="shared" si="21"/>
        <v/>
      </c>
      <c r="E206" s="4" t="str">
        <f t="shared" si="19"/>
        <v/>
      </c>
      <c r="F206" s="5" t="str">
        <f>IFERROR(AVERAGE(INDEX(B:B,(ROW()-1)*7+1):INDEX(B:B,ROW()*7)),"")</f>
        <v/>
      </c>
      <c r="G206" s="4" t="str">
        <f t="shared" si="20"/>
        <v/>
      </c>
      <c r="H206" s="18" t="str" cm="1">
        <f t="array" ref="H206">IF(INDEX($B:$B,1+7*ROWS($H$1:H206))="","",INDEX($B:$B,1+7*(ROWS($H$1:H206)-1))-INDEX($B:$B,1+7*ROWS($H$1:H206)))</f>
        <v/>
      </c>
      <c r="AA206" s="5" t="str">
        <f t="shared" si="22"/>
        <v/>
      </c>
      <c r="AB206" s="5" t="str">
        <f t="shared" si="23"/>
        <v/>
      </c>
    </row>
    <row r="207" spans="1:28" x14ac:dyDescent="0.35">
      <c r="A207" s="3"/>
      <c r="C207" s="4" t="str">
        <f t="shared" si="18"/>
        <v/>
      </c>
      <c r="D207" s="4" t="str">
        <f t="shared" si="21"/>
        <v/>
      </c>
      <c r="E207" s="4" t="str">
        <f t="shared" si="19"/>
        <v/>
      </c>
      <c r="F207" s="5" t="str">
        <f>IFERROR(AVERAGE(INDEX(B:B,(ROW()-1)*7+1):INDEX(B:B,ROW()*7)),"")</f>
        <v/>
      </c>
      <c r="G207" s="4" t="str">
        <f t="shared" si="20"/>
        <v/>
      </c>
      <c r="H207" s="18" t="str" cm="1">
        <f t="array" ref="H207">IF(INDEX($B:$B,1+7*ROWS($H$1:H207))="","",INDEX($B:$B,1+7*(ROWS($H$1:H207)-1))-INDEX($B:$B,1+7*ROWS($H$1:H207)))</f>
        <v/>
      </c>
      <c r="AA207" s="5" t="str">
        <f t="shared" si="22"/>
        <v/>
      </c>
      <c r="AB207" s="5" t="str">
        <f t="shared" si="23"/>
        <v/>
      </c>
    </row>
    <row r="208" spans="1:28" x14ac:dyDescent="0.35">
      <c r="A208" s="3"/>
      <c r="C208" s="4" t="str">
        <f t="shared" si="18"/>
        <v/>
      </c>
      <c r="D208" s="4" t="str">
        <f t="shared" si="21"/>
        <v/>
      </c>
      <c r="E208" s="4" t="str">
        <f t="shared" si="19"/>
        <v/>
      </c>
      <c r="F208" s="5" t="str">
        <f>IFERROR(AVERAGE(INDEX(B:B,(ROW()-1)*7+1):INDEX(B:B,ROW()*7)),"")</f>
        <v/>
      </c>
      <c r="G208" s="4" t="str">
        <f t="shared" si="20"/>
        <v/>
      </c>
      <c r="H208" s="18" t="str" cm="1">
        <f t="array" ref="H208">IF(INDEX($B:$B,1+7*ROWS($H$1:H208))="","",INDEX($B:$B,1+7*(ROWS($H$1:H208)-1))-INDEX($B:$B,1+7*ROWS($H$1:H208)))</f>
        <v/>
      </c>
      <c r="AA208" s="5" t="str">
        <f t="shared" si="22"/>
        <v/>
      </c>
      <c r="AB208" s="5" t="str">
        <f t="shared" si="23"/>
        <v/>
      </c>
    </row>
    <row r="209" spans="1:28" x14ac:dyDescent="0.35">
      <c r="A209" s="3"/>
      <c r="C209" s="4" t="str">
        <f t="shared" si="18"/>
        <v/>
      </c>
      <c r="D209" s="4" t="str">
        <f t="shared" si="21"/>
        <v/>
      </c>
      <c r="E209" s="4" t="str">
        <f t="shared" si="19"/>
        <v/>
      </c>
      <c r="F209" s="5" t="str">
        <f>IFERROR(AVERAGE(INDEX(B:B,(ROW()-1)*7+1):INDEX(B:B,ROW()*7)),"")</f>
        <v/>
      </c>
      <c r="G209" s="4" t="str">
        <f t="shared" si="20"/>
        <v/>
      </c>
      <c r="H209" s="18" t="str" cm="1">
        <f t="array" ref="H209">IF(INDEX($B:$B,1+7*ROWS($H$1:H209))="","",INDEX($B:$B,1+7*(ROWS($H$1:H209)-1))-INDEX($B:$B,1+7*ROWS($H$1:H209)))</f>
        <v/>
      </c>
      <c r="AA209" s="5" t="str">
        <f t="shared" si="22"/>
        <v/>
      </c>
      <c r="AB209" s="5" t="str">
        <f t="shared" si="23"/>
        <v/>
      </c>
    </row>
    <row r="210" spans="1:28" x14ac:dyDescent="0.35">
      <c r="A210" s="3"/>
      <c r="C210" s="4" t="str">
        <f t="shared" si="18"/>
        <v/>
      </c>
      <c r="D210" s="4" t="str">
        <f t="shared" si="21"/>
        <v/>
      </c>
      <c r="E210" s="4" t="str">
        <f t="shared" si="19"/>
        <v/>
      </c>
      <c r="F210" s="5" t="str">
        <f>IFERROR(AVERAGE(INDEX(B:B,(ROW()-1)*7+1):INDEX(B:B,ROW()*7)),"")</f>
        <v/>
      </c>
      <c r="G210" s="4" t="str">
        <f t="shared" si="20"/>
        <v/>
      </c>
      <c r="H210" s="18" t="str" cm="1">
        <f t="array" ref="H210">IF(INDEX($B:$B,1+7*ROWS($H$1:H210))="","",INDEX($B:$B,1+7*(ROWS($H$1:H210)-1))-INDEX($B:$B,1+7*ROWS($H$1:H210)))</f>
        <v/>
      </c>
      <c r="AA210" s="5" t="str">
        <f t="shared" si="22"/>
        <v/>
      </c>
      <c r="AB210" s="5" t="str">
        <f t="shared" si="23"/>
        <v/>
      </c>
    </row>
    <row r="211" spans="1:28" x14ac:dyDescent="0.35">
      <c r="A211" s="19"/>
      <c r="C211" s="4" t="str">
        <f t="shared" si="18"/>
        <v/>
      </c>
      <c r="D211" s="4" t="str">
        <f t="shared" si="21"/>
        <v/>
      </c>
      <c r="E211" s="4" t="str">
        <f t="shared" si="19"/>
        <v/>
      </c>
      <c r="F211" s="5" t="str">
        <f>IFERROR(AVERAGE(INDEX(B:B,(ROW()-1)*7+1):INDEX(B:B,ROW()*7)),"")</f>
        <v/>
      </c>
      <c r="G211" s="4" t="str">
        <f t="shared" si="20"/>
        <v/>
      </c>
      <c r="H211" s="18" t="str" cm="1">
        <f t="array" ref="H211">IF(INDEX($B:$B,1+7*ROWS($H$1:H211))="","",INDEX($B:$B,1+7*(ROWS($H$1:H211)-1))-INDEX($B:$B,1+7*ROWS($H$1:H211)))</f>
        <v/>
      </c>
      <c r="AA211" s="5" t="str">
        <f t="shared" si="22"/>
        <v/>
      </c>
      <c r="AB211" s="5" t="str">
        <f t="shared" si="23"/>
        <v/>
      </c>
    </row>
    <row r="212" spans="1:28" x14ac:dyDescent="0.35">
      <c r="A212" s="3"/>
      <c r="C212" s="4" t="str">
        <f t="shared" si="18"/>
        <v/>
      </c>
      <c r="D212" s="4" t="str">
        <f t="shared" si="21"/>
        <v/>
      </c>
      <c r="E212" s="4" t="str">
        <f t="shared" si="19"/>
        <v/>
      </c>
      <c r="F212" s="5" t="str">
        <f>IFERROR(AVERAGE(INDEX(B:B,(ROW()-1)*7+1):INDEX(B:B,ROW()*7)),"")</f>
        <v/>
      </c>
      <c r="G212" s="4" t="str">
        <f t="shared" si="20"/>
        <v/>
      </c>
      <c r="H212" s="18" t="str" cm="1">
        <f t="array" ref="H212">IF(INDEX($B:$B,1+7*ROWS($H$1:H212))="","",INDEX($B:$B,1+7*(ROWS($H$1:H212)-1))-INDEX($B:$B,1+7*ROWS($H$1:H212)))</f>
        <v/>
      </c>
      <c r="AA212" s="5" t="str">
        <f t="shared" si="22"/>
        <v/>
      </c>
      <c r="AB212" s="5" t="str">
        <f t="shared" si="23"/>
        <v/>
      </c>
    </row>
    <row r="213" spans="1:28" x14ac:dyDescent="0.35">
      <c r="A213" s="3"/>
      <c r="C213" s="4" t="str">
        <f t="shared" si="18"/>
        <v/>
      </c>
      <c r="D213" s="4" t="str">
        <f t="shared" si="21"/>
        <v/>
      </c>
      <c r="E213" s="4" t="str">
        <f t="shared" si="19"/>
        <v/>
      </c>
      <c r="F213" s="5" t="str">
        <f>IFERROR(AVERAGE(INDEX(B:B,(ROW()-1)*7+1):INDEX(B:B,ROW()*7)),"")</f>
        <v/>
      </c>
      <c r="G213" s="4" t="str">
        <f t="shared" si="20"/>
        <v/>
      </c>
      <c r="H213" s="18" t="str" cm="1">
        <f t="array" ref="H213">IF(INDEX($B:$B,1+7*ROWS($H$1:H213))="","",INDEX($B:$B,1+7*(ROWS($H$1:H213)-1))-INDEX($B:$B,1+7*ROWS($H$1:H213)))</f>
        <v/>
      </c>
      <c r="AA213" s="5" t="str">
        <f t="shared" si="22"/>
        <v/>
      </c>
      <c r="AB213" s="5" t="str">
        <f t="shared" si="23"/>
        <v/>
      </c>
    </row>
    <row r="214" spans="1:28" x14ac:dyDescent="0.35">
      <c r="A214" s="3"/>
      <c r="C214" s="4" t="str">
        <f t="shared" si="18"/>
        <v/>
      </c>
      <c r="D214" s="4" t="str">
        <f t="shared" si="21"/>
        <v/>
      </c>
      <c r="E214" s="4" t="str">
        <f t="shared" si="19"/>
        <v/>
      </c>
      <c r="F214" s="5" t="str">
        <f>IFERROR(AVERAGE(INDEX(B:B,(ROW()-1)*7+1):INDEX(B:B,ROW()*7)),"")</f>
        <v/>
      </c>
      <c r="G214" s="4" t="str">
        <f t="shared" si="20"/>
        <v/>
      </c>
      <c r="H214" s="18" t="str" cm="1">
        <f t="array" ref="H214">IF(INDEX($B:$B,1+7*ROWS($H$1:H214))="","",INDEX($B:$B,1+7*(ROWS($H$1:H214)-1))-INDEX($B:$B,1+7*ROWS($H$1:H214)))</f>
        <v/>
      </c>
      <c r="AA214" s="5" t="str">
        <f t="shared" si="22"/>
        <v/>
      </c>
      <c r="AB214" s="5" t="str">
        <f t="shared" si="23"/>
        <v/>
      </c>
    </row>
    <row r="215" spans="1:28" x14ac:dyDescent="0.35">
      <c r="A215" s="3"/>
      <c r="C215" s="4" t="str">
        <f t="shared" si="18"/>
        <v/>
      </c>
      <c r="D215" s="4" t="str">
        <f t="shared" si="21"/>
        <v/>
      </c>
      <c r="E215" s="4" t="str">
        <f t="shared" si="19"/>
        <v/>
      </c>
      <c r="F215" s="5" t="str">
        <f>IFERROR(AVERAGE(INDEX(B:B,(ROW()-1)*7+1):INDEX(B:B,ROW()*7)),"")</f>
        <v/>
      </c>
      <c r="G215" s="4" t="str">
        <f t="shared" si="20"/>
        <v/>
      </c>
      <c r="H215" s="18" t="str" cm="1">
        <f t="array" ref="H215">IF(INDEX($B:$B,1+7*ROWS($H$1:H215))="","",INDEX($B:$B,1+7*(ROWS($H$1:H215)-1))-INDEX($B:$B,1+7*ROWS($H$1:H215)))</f>
        <v/>
      </c>
      <c r="AA215" s="5" t="str">
        <f t="shared" si="22"/>
        <v/>
      </c>
      <c r="AB215" s="5" t="str">
        <f t="shared" si="23"/>
        <v/>
      </c>
    </row>
    <row r="216" spans="1:28" x14ac:dyDescent="0.35">
      <c r="A216" s="3"/>
      <c r="C216" s="4" t="str">
        <f t="shared" si="18"/>
        <v/>
      </c>
      <c r="D216" s="4" t="str">
        <f t="shared" si="21"/>
        <v/>
      </c>
      <c r="E216" s="4" t="str">
        <f t="shared" si="19"/>
        <v/>
      </c>
      <c r="F216" s="5" t="str">
        <f>IFERROR(AVERAGE(INDEX(B:B,(ROW()-1)*7+1):INDEX(B:B,ROW()*7)),"")</f>
        <v/>
      </c>
      <c r="G216" s="4" t="str">
        <f t="shared" si="20"/>
        <v/>
      </c>
      <c r="H216" s="18" t="str" cm="1">
        <f t="array" ref="H216">IF(INDEX($B:$B,1+7*ROWS($H$1:H216))="","",INDEX($B:$B,1+7*(ROWS($H$1:H216)-1))-INDEX($B:$B,1+7*ROWS($H$1:H216)))</f>
        <v/>
      </c>
      <c r="AA216" s="5" t="str">
        <f t="shared" si="22"/>
        <v/>
      </c>
      <c r="AB216" s="5" t="str">
        <f t="shared" si="23"/>
        <v/>
      </c>
    </row>
    <row r="217" spans="1:28" x14ac:dyDescent="0.35">
      <c r="A217" s="3"/>
      <c r="C217" s="4" t="str">
        <f t="shared" si="18"/>
        <v/>
      </c>
      <c r="D217" s="4" t="str">
        <f t="shared" si="21"/>
        <v/>
      </c>
      <c r="E217" s="4" t="str">
        <f t="shared" si="19"/>
        <v/>
      </c>
      <c r="F217" s="5" t="str">
        <f>IFERROR(AVERAGE(INDEX(B:B,(ROW()-1)*7+1):INDEX(B:B,ROW()*7)),"")</f>
        <v/>
      </c>
      <c r="G217" s="4" t="str">
        <f t="shared" si="20"/>
        <v/>
      </c>
      <c r="H217" s="18" t="str" cm="1">
        <f t="array" ref="H217">IF(INDEX($B:$B,1+7*ROWS($H$1:H217))="","",INDEX($B:$B,1+7*(ROWS($H$1:H217)-1))-INDEX($B:$B,1+7*ROWS($H$1:H217)))</f>
        <v/>
      </c>
      <c r="AA217" s="5" t="str">
        <f t="shared" si="22"/>
        <v/>
      </c>
      <c r="AB217" s="5" t="str">
        <f t="shared" si="23"/>
        <v/>
      </c>
    </row>
    <row r="218" spans="1:28" x14ac:dyDescent="0.35">
      <c r="A218" s="19"/>
      <c r="C218" s="4" t="str">
        <f t="shared" si="18"/>
        <v/>
      </c>
      <c r="D218" s="4" t="str">
        <f t="shared" si="21"/>
        <v/>
      </c>
      <c r="E218" s="4" t="str">
        <f t="shared" si="19"/>
        <v/>
      </c>
      <c r="F218" s="5" t="str">
        <f>IFERROR(AVERAGE(INDEX(B:B,(ROW()-1)*7+1):INDEX(B:B,ROW()*7)),"")</f>
        <v/>
      </c>
      <c r="G218" s="4" t="str">
        <f t="shared" si="20"/>
        <v/>
      </c>
      <c r="H218" s="18" t="str" cm="1">
        <f t="array" ref="H218">IF(INDEX($B:$B,1+7*ROWS($H$1:H218))="","",INDEX($B:$B,1+7*(ROWS($H$1:H218)-1))-INDEX($B:$B,1+7*ROWS($H$1:H218)))</f>
        <v/>
      </c>
      <c r="AA218" s="5" t="str">
        <f t="shared" si="22"/>
        <v/>
      </c>
      <c r="AB218" s="5" t="str">
        <f t="shared" si="23"/>
        <v/>
      </c>
    </row>
    <row r="219" spans="1:28" x14ac:dyDescent="0.35">
      <c r="A219" s="3"/>
      <c r="C219" s="4" t="str">
        <f t="shared" si="18"/>
        <v/>
      </c>
      <c r="D219" s="4" t="str">
        <f t="shared" si="21"/>
        <v/>
      </c>
      <c r="E219" s="4" t="str">
        <f t="shared" si="19"/>
        <v/>
      </c>
      <c r="F219" s="5" t="str">
        <f>IFERROR(AVERAGE(INDEX(B:B,(ROW()-1)*7+1):INDEX(B:B,ROW()*7)),"")</f>
        <v/>
      </c>
      <c r="G219" s="4" t="str">
        <f t="shared" si="20"/>
        <v/>
      </c>
      <c r="H219" s="18" t="str" cm="1">
        <f t="array" ref="H219">IF(INDEX($B:$B,1+7*ROWS($H$1:H219))="","",INDEX($B:$B,1+7*(ROWS($H$1:H219)-1))-INDEX($B:$B,1+7*ROWS($H$1:H219)))</f>
        <v/>
      </c>
      <c r="AA219" s="5" t="str">
        <f t="shared" si="22"/>
        <v/>
      </c>
      <c r="AB219" s="5" t="str">
        <f t="shared" si="23"/>
        <v/>
      </c>
    </row>
    <row r="220" spans="1:28" x14ac:dyDescent="0.35">
      <c r="A220" s="3"/>
      <c r="C220" s="4" t="str">
        <f t="shared" si="18"/>
        <v/>
      </c>
      <c r="D220" s="4" t="str">
        <f t="shared" si="21"/>
        <v/>
      </c>
      <c r="E220" s="4" t="str">
        <f t="shared" si="19"/>
        <v/>
      </c>
      <c r="F220" s="5" t="str">
        <f>IFERROR(AVERAGE(INDEX(B:B,(ROW()-1)*7+1):INDEX(B:B,ROW()*7)),"")</f>
        <v/>
      </c>
      <c r="G220" s="4" t="str">
        <f t="shared" si="20"/>
        <v/>
      </c>
      <c r="H220" s="18" t="str" cm="1">
        <f t="array" ref="H220">IF(INDEX($B:$B,1+7*ROWS($H$1:H220))="","",INDEX($B:$B,1+7*(ROWS($H$1:H220)-1))-INDEX($B:$B,1+7*ROWS($H$1:H220)))</f>
        <v/>
      </c>
      <c r="AA220" s="5" t="str">
        <f t="shared" si="22"/>
        <v/>
      </c>
      <c r="AB220" s="5" t="str">
        <f t="shared" si="23"/>
        <v/>
      </c>
    </row>
    <row r="221" spans="1:28" x14ac:dyDescent="0.35">
      <c r="A221" s="3"/>
      <c r="C221" s="4" t="str">
        <f t="shared" si="18"/>
        <v/>
      </c>
      <c r="D221" s="4" t="str">
        <f t="shared" si="21"/>
        <v/>
      </c>
      <c r="E221" s="4" t="str">
        <f t="shared" si="19"/>
        <v/>
      </c>
      <c r="F221" s="5" t="str">
        <f>IFERROR(AVERAGE(INDEX(B:B,(ROW()-1)*7+1):INDEX(B:B,ROW()*7)),"")</f>
        <v/>
      </c>
      <c r="G221" s="4" t="str">
        <f t="shared" si="20"/>
        <v/>
      </c>
      <c r="H221" s="18" t="str" cm="1">
        <f t="array" ref="H221">IF(INDEX($B:$B,1+7*ROWS($H$1:H221))="","",INDEX($B:$B,1+7*(ROWS($H$1:H221)-1))-INDEX($B:$B,1+7*ROWS($H$1:H221)))</f>
        <v/>
      </c>
      <c r="AA221" s="5" t="str">
        <f t="shared" si="22"/>
        <v/>
      </c>
      <c r="AB221" s="5" t="str">
        <f t="shared" si="23"/>
        <v/>
      </c>
    </row>
    <row r="222" spans="1:28" x14ac:dyDescent="0.35">
      <c r="A222" s="3"/>
      <c r="C222" s="4" t="str">
        <f t="shared" si="18"/>
        <v/>
      </c>
      <c r="D222" s="4" t="str">
        <f t="shared" si="21"/>
        <v/>
      </c>
      <c r="E222" s="4" t="str">
        <f t="shared" si="19"/>
        <v/>
      </c>
      <c r="F222" s="5" t="str">
        <f>IFERROR(AVERAGE(INDEX(B:B,(ROW()-1)*7+1):INDEX(B:B,ROW()*7)),"")</f>
        <v/>
      </c>
      <c r="G222" s="4" t="str">
        <f t="shared" si="20"/>
        <v/>
      </c>
      <c r="H222" s="18" t="str" cm="1">
        <f t="array" ref="H222">IF(INDEX($B:$B,1+7*ROWS($H$1:H222))="","",INDEX($B:$B,1+7*(ROWS($H$1:H222)-1))-INDEX($B:$B,1+7*ROWS($H$1:H222)))</f>
        <v/>
      </c>
      <c r="AA222" s="5" t="str">
        <f t="shared" si="22"/>
        <v/>
      </c>
      <c r="AB222" s="5" t="str">
        <f t="shared" si="23"/>
        <v/>
      </c>
    </row>
    <row r="223" spans="1:28" x14ac:dyDescent="0.35">
      <c r="A223" s="3"/>
      <c r="C223" s="4" t="str">
        <f t="shared" si="18"/>
        <v/>
      </c>
      <c r="D223" s="4" t="str">
        <f t="shared" si="21"/>
        <v/>
      </c>
      <c r="E223" s="4" t="str">
        <f t="shared" si="19"/>
        <v/>
      </c>
      <c r="F223" s="5" t="str">
        <f>IFERROR(AVERAGE(INDEX(B:B,(ROW()-1)*7+1):INDEX(B:B,ROW()*7)),"")</f>
        <v/>
      </c>
      <c r="G223" s="4" t="str">
        <f t="shared" si="20"/>
        <v/>
      </c>
      <c r="H223" s="18" t="str" cm="1">
        <f t="array" ref="H223">IF(INDEX($B:$B,1+7*ROWS($H$1:H223))="","",INDEX($B:$B,1+7*(ROWS($H$1:H223)-1))-INDEX($B:$B,1+7*ROWS($H$1:H223)))</f>
        <v/>
      </c>
      <c r="AA223" s="5" t="str">
        <f t="shared" si="22"/>
        <v/>
      </c>
      <c r="AB223" s="5" t="str">
        <f t="shared" si="23"/>
        <v/>
      </c>
    </row>
    <row r="224" spans="1:28" x14ac:dyDescent="0.35">
      <c r="A224" s="3"/>
      <c r="C224" s="4" t="str">
        <f t="shared" si="18"/>
        <v/>
      </c>
      <c r="D224" s="4" t="str">
        <f t="shared" si="21"/>
        <v/>
      </c>
      <c r="E224" s="4" t="str">
        <f t="shared" si="19"/>
        <v/>
      </c>
      <c r="F224" s="5" t="str">
        <f>IFERROR(AVERAGE(INDEX(B:B,(ROW()-1)*7+1):INDEX(B:B,ROW()*7)),"")</f>
        <v/>
      </c>
      <c r="G224" s="4" t="str">
        <f t="shared" si="20"/>
        <v/>
      </c>
      <c r="H224" s="18" t="str" cm="1">
        <f t="array" ref="H224">IF(INDEX($B:$B,1+7*ROWS($H$1:H224))="","",INDEX($B:$B,1+7*(ROWS($H$1:H224)-1))-INDEX($B:$B,1+7*ROWS($H$1:H224)))</f>
        <v/>
      </c>
      <c r="AA224" s="5" t="str">
        <f t="shared" si="22"/>
        <v/>
      </c>
      <c r="AB224" s="5" t="str">
        <f t="shared" si="23"/>
        <v/>
      </c>
    </row>
    <row r="225" spans="1:28" x14ac:dyDescent="0.35">
      <c r="A225" s="19"/>
      <c r="C225" s="4" t="str">
        <f t="shared" si="18"/>
        <v/>
      </c>
      <c r="D225" s="4" t="str">
        <f t="shared" si="21"/>
        <v/>
      </c>
      <c r="E225" s="4" t="str">
        <f t="shared" si="19"/>
        <v/>
      </c>
      <c r="F225" s="5" t="str">
        <f>IFERROR(AVERAGE(INDEX(B:B,(ROW()-1)*7+1):INDEX(B:B,ROW()*7)),"")</f>
        <v/>
      </c>
      <c r="G225" s="4" t="str">
        <f t="shared" si="20"/>
        <v/>
      </c>
      <c r="H225" s="18" t="str" cm="1">
        <f t="array" ref="H225">IF(INDEX($B:$B,1+7*ROWS($H$1:H225))="","",INDEX($B:$B,1+7*(ROWS($H$1:H225)-1))-INDEX($B:$B,1+7*ROWS($H$1:H225)))</f>
        <v/>
      </c>
      <c r="AA225" s="5" t="str">
        <f t="shared" si="22"/>
        <v/>
      </c>
      <c r="AB225" s="5" t="str">
        <f t="shared" si="23"/>
        <v/>
      </c>
    </row>
    <row r="226" spans="1:28" x14ac:dyDescent="0.35">
      <c r="A226" s="3"/>
      <c r="C226" s="4" t="str">
        <f t="shared" si="18"/>
        <v/>
      </c>
      <c r="D226" s="4" t="str">
        <f t="shared" si="21"/>
        <v/>
      </c>
      <c r="E226" s="4" t="str">
        <f t="shared" si="19"/>
        <v/>
      </c>
      <c r="F226" s="5" t="str">
        <f>IFERROR(AVERAGE(INDEX(B:B,(ROW()-1)*7+1):INDEX(B:B,ROW()*7)),"")</f>
        <v/>
      </c>
      <c r="G226" s="4" t="str">
        <f t="shared" si="20"/>
        <v/>
      </c>
      <c r="H226" s="18" t="str" cm="1">
        <f t="array" ref="H226">IF(INDEX($B:$B,1+7*ROWS($H$1:H226))="","",INDEX($B:$B,1+7*(ROWS($H$1:H226)-1))-INDEX($B:$B,1+7*ROWS($H$1:H226)))</f>
        <v/>
      </c>
      <c r="AA226" s="5" t="str">
        <f t="shared" si="22"/>
        <v/>
      </c>
      <c r="AB226" s="5" t="str">
        <f t="shared" si="23"/>
        <v/>
      </c>
    </row>
    <row r="227" spans="1:28" x14ac:dyDescent="0.35">
      <c r="A227" s="3"/>
      <c r="C227" s="4" t="str">
        <f t="shared" si="18"/>
        <v/>
      </c>
      <c r="D227" s="4" t="str">
        <f t="shared" si="21"/>
        <v/>
      </c>
      <c r="E227" s="4" t="str">
        <f t="shared" si="19"/>
        <v/>
      </c>
      <c r="F227" s="5" t="str">
        <f>IFERROR(AVERAGE(INDEX(B:B,(ROW()-1)*7+1):INDEX(B:B,ROW()*7)),"")</f>
        <v/>
      </c>
      <c r="G227" s="4" t="str">
        <f t="shared" si="20"/>
        <v/>
      </c>
      <c r="H227" s="18" t="str" cm="1">
        <f t="array" ref="H227">IF(INDEX($B:$B,1+7*ROWS($H$1:H227))="","",INDEX($B:$B,1+7*(ROWS($H$1:H227)-1))-INDEX($B:$B,1+7*ROWS($H$1:H227)))</f>
        <v/>
      </c>
      <c r="AA227" s="5" t="str">
        <f t="shared" si="22"/>
        <v/>
      </c>
      <c r="AB227" s="5" t="str">
        <f t="shared" si="23"/>
        <v/>
      </c>
    </row>
    <row r="228" spans="1:28" x14ac:dyDescent="0.35">
      <c r="A228" s="3"/>
      <c r="C228" s="4" t="str">
        <f t="shared" si="18"/>
        <v/>
      </c>
      <c r="D228" s="4" t="str">
        <f t="shared" si="21"/>
        <v/>
      </c>
      <c r="E228" s="4" t="str">
        <f t="shared" si="19"/>
        <v/>
      </c>
      <c r="F228" s="5" t="str">
        <f>IFERROR(AVERAGE(INDEX(B:B,(ROW()-1)*7+1):INDEX(B:B,ROW()*7)),"")</f>
        <v/>
      </c>
      <c r="G228" s="4" t="str">
        <f t="shared" si="20"/>
        <v/>
      </c>
      <c r="H228" s="18" t="str" cm="1">
        <f t="array" ref="H228">IF(INDEX($B:$B,1+7*ROWS($H$1:H228))="","",INDEX($B:$B,1+7*(ROWS($H$1:H228)-1))-INDEX($B:$B,1+7*ROWS($H$1:H228)))</f>
        <v/>
      </c>
      <c r="AA228" s="5" t="str">
        <f t="shared" si="22"/>
        <v/>
      </c>
      <c r="AB228" s="5" t="str">
        <f t="shared" si="23"/>
        <v/>
      </c>
    </row>
    <row r="229" spans="1:28" x14ac:dyDescent="0.35">
      <c r="A229" s="3"/>
      <c r="C229" s="4" t="str">
        <f t="shared" si="18"/>
        <v/>
      </c>
      <c r="D229" s="4" t="str">
        <f t="shared" si="21"/>
        <v/>
      </c>
      <c r="E229" s="4" t="str">
        <f t="shared" si="19"/>
        <v/>
      </c>
      <c r="F229" s="5" t="str">
        <f>IFERROR(AVERAGE(INDEX(B:B,(ROW()-1)*7+1):INDEX(B:B,ROW()*7)),"")</f>
        <v/>
      </c>
      <c r="G229" s="4" t="str">
        <f t="shared" si="20"/>
        <v/>
      </c>
      <c r="H229" s="18" t="str" cm="1">
        <f t="array" ref="H229">IF(INDEX($B:$B,1+7*ROWS($H$1:H229))="","",INDEX($B:$B,1+7*(ROWS($H$1:H229)-1))-INDEX($B:$B,1+7*ROWS($H$1:H229)))</f>
        <v/>
      </c>
      <c r="AA229" s="5" t="str">
        <f t="shared" si="22"/>
        <v/>
      </c>
      <c r="AB229" s="5" t="str">
        <f t="shared" si="23"/>
        <v/>
      </c>
    </row>
    <row r="230" spans="1:28" x14ac:dyDescent="0.35">
      <c r="A230" s="3"/>
      <c r="C230" s="4" t="str">
        <f t="shared" si="18"/>
        <v/>
      </c>
      <c r="D230" s="4" t="str">
        <f t="shared" si="21"/>
        <v/>
      </c>
      <c r="E230" s="4" t="str">
        <f t="shared" si="19"/>
        <v/>
      </c>
      <c r="F230" s="5" t="str">
        <f>IFERROR(AVERAGE(INDEX(B:B,(ROW()-1)*7+1):INDEX(B:B,ROW()*7)),"")</f>
        <v/>
      </c>
      <c r="G230" s="4" t="str">
        <f t="shared" si="20"/>
        <v/>
      </c>
      <c r="H230" s="18" t="str" cm="1">
        <f t="array" ref="H230">IF(INDEX($B:$B,1+7*ROWS($H$1:H230))="","",INDEX($B:$B,1+7*(ROWS($H$1:H230)-1))-INDEX($B:$B,1+7*ROWS($H$1:H230)))</f>
        <v/>
      </c>
      <c r="AA230" s="5" t="str">
        <f t="shared" si="22"/>
        <v/>
      </c>
      <c r="AB230" s="5" t="str">
        <f t="shared" si="23"/>
        <v/>
      </c>
    </row>
    <row r="231" spans="1:28" x14ac:dyDescent="0.35">
      <c r="A231" s="3"/>
      <c r="C231" s="4" t="str">
        <f t="shared" si="18"/>
        <v/>
      </c>
      <c r="D231" s="4" t="str">
        <f t="shared" si="21"/>
        <v/>
      </c>
      <c r="E231" s="4" t="str">
        <f t="shared" si="19"/>
        <v/>
      </c>
      <c r="F231" s="5" t="str">
        <f>IFERROR(AVERAGE(INDEX(B:B,(ROW()-1)*7+1):INDEX(B:B,ROW()*7)),"")</f>
        <v/>
      </c>
      <c r="G231" s="4" t="str">
        <f t="shared" si="20"/>
        <v/>
      </c>
      <c r="H231" s="18" t="str" cm="1">
        <f t="array" ref="H231">IF(INDEX($B:$B,1+7*ROWS($H$1:H231))="","",INDEX($B:$B,1+7*(ROWS($H$1:H231)-1))-INDEX($B:$B,1+7*ROWS($H$1:H231)))</f>
        <v/>
      </c>
      <c r="AA231" s="5" t="str">
        <f t="shared" si="22"/>
        <v/>
      </c>
      <c r="AB231" s="5" t="str">
        <f t="shared" si="23"/>
        <v/>
      </c>
    </row>
    <row r="232" spans="1:28" x14ac:dyDescent="0.35">
      <c r="A232" s="19"/>
      <c r="C232" s="4" t="str">
        <f t="shared" si="18"/>
        <v/>
      </c>
      <c r="D232" s="4" t="str">
        <f t="shared" si="21"/>
        <v/>
      </c>
      <c r="E232" s="4" t="str">
        <f t="shared" si="19"/>
        <v/>
      </c>
      <c r="F232" s="5" t="str">
        <f>IFERROR(AVERAGE(INDEX(B:B,(ROW()-1)*7+1):INDEX(B:B,ROW()*7)),"")</f>
        <v/>
      </c>
      <c r="G232" s="4" t="str">
        <f t="shared" si="20"/>
        <v/>
      </c>
      <c r="H232" s="18" t="str" cm="1">
        <f t="array" ref="H232">IF(INDEX($B:$B,1+7*ROWS($H$1:H232))="","",INDEX($B:$B,1+7*(ROWS($H$1:H232)-1))-INDEX($B:$B,1+7*ROWS($H$1:H232)))</f>
        <v/>
      </c>
      <c r="AA232" s="5" t="str">
        <f t="shared" si="22"/>
        <v/>
      </c>
      <c r="AB232" s="5" t="str">
        <f t="shared" si="23"/>
        <v/>
      </c>
    </row>
    <row r="233" spans="1:28" x14ac:dyDescent="0.35">
      <c r="A233" s="3"/>
      <c r="C233" s="4" t="str">
        <f t="shared" si="18"/>
        <v/>
      </c>
      <c r="D233" s="4" t="str">
        <f t="shared" si="21"/>
        <v/>
      </c>
      <c r="E233" s="4" t="str">
        <f t="shared" si="19"/>
        <v/>
      </c>
      <c r="F233" s="5" t="str">
        <f>IFERROR(AVERAGE(INDEX(B:B,(ROW()-1)*7+1):INDEX(B:B,ROW()*7)),"")</f>
        <v/>
      </c>
      <c r="G233" s="4" t="str">
        <f t="shared" si="20"/>
        <v/>
      </c>
      <c r="H233" s="18" t="str" cm="1">
        <f t="array" ref="H233">IF(INDEX($B:$B,1+7*ROWS($H$1:H233))="","",INDEX($B:$B,1+7*(ROWS($H$1:H233)-1))-INDEX($B:$B,1+7*ROWS($H$1:H233)))</f>
        <v/>
      </c>
      <c r="AA233" s="5" t="str">
        <f t="shared" si="22"/>
        <v/>
      </c>
      <c r="AB233" s="5" t="str">
        <f t="shared" si="23"/>
        <v/>
      </c>
    </row>
    <row r="234" spans="1:28" x14ac:dyDescent="0.35">
      <c r="A234" s="3"/>
      <c r="C234" s="4" t="str">
        <f t="shared" si="18"/>
        <v/>
      </c>
      <c r="D234" s="4" t="str">
        <f t="shared" si="21"/>
        <v/>
      </c>
      <c r="E234" s="4" t="str">
        <f t="shared" si="19"/>
        <v/>
      </c>
      <c r="F234" s="5" t="str">
        <f>IFERROR(AVERAGE(INDEX(B:B,(ROW()-1)*7+1):INDEX(B:B,ROW()*7)),"")</f>
        <v/>
      </c>
      <c r="G234" s="4" t="str">
        <f t="shared" si="20"/>
        <v/>
      </c>
      <c r="H234" s="18" t="str" cm="1">
        <f t="array" ref="H234">IF(INDEX($B:$B,1+7*ROWS($H$1:H234))="","",INDEX($B:$B,1+7*(ROWS($H$1:H234)-1))-INDEX($B:$B,1+7*ROWS($H$1:H234)))</f>
        <v/>
      </c>
      <c r="AA234" s="5" t="str">
        <f t="shared" si="22"/>
        <v/>
      </c>
      <c r="AB234" s="5" t="str">
        <f t="shared" si="23"/>
        <v/>
      </c>
    </row>
    <row r="235" spans="1:28" x14ac:dyDescent="0.35">
      <c r="A235" s="3"/>
      <c r="C235" s="4" t="str">
        <f t="shared" si="18"/>
        <v/>
      </c>
      <c r="D235" s="4" t="str">
        <f t="shared" si="21"/>
        <v/>
      </c>
      <c r="E235" s="4" t="str">
        <f t="shared" si="19"/>
        <v/>
      </c>
      <c r="F235" s="5" t="str">
        <f>IFERROR(AVERAGE(INDEX(B:B,(ROW()-1)*7+1):INDEX(B:B,ROW()*7)),"")</f>
        <v/>
      </c>
      <c r="G235" s="4" t="str">
        <f t="shared" si="20"/>
        <v/>
      </c>
      <c r="H235" s="18" t="str" cm="1">
        <f t="array" ref="H235">IF(INDEX($B:$B,1+7*ROWS($H$1:H235))="","",INDEX($B:$B,1+7*(ROWS($H$1:H235)-1))-INDEX($B:$B,1+7*ROWS($H$1:H235)))</f>
        <v/>
      </c>
      <c r="AA235" s="5" t="str">
        <f t="shared" si="22"/>
        <v/>
      </c>
      <c r="AB235" s="5" t="str">
        <f t="shared" si="23"/>
        <v/>
      </c>
    </row>
    <row r="236" spans="1:28" x14ac:dyDescent="0.35">
      <c r="A236" s="3"/>
      <c r="C236" s="4" t="str">
        <f t="shared" si="18"/>
        <v/>
      </c>
      <c r="D236" s="4" t="str">
        <f t="shared" si="21"/>
        <v/>
      </c>
      <c r="E236" s="4" t="str">
        <f t="shared" si="19"/>
        <v/>
      </c>
      <c r="F236" s="5" t="str">
        <f>IFERROR(AVERAGE(INDEX(B:B,(ROW()-1)*7+1):INDEX(B:B,ROW()*7)),"")</f>
        <v/>
      </c>
      <c r="G236" s="4" t="str">
        <f t="shared" si="20"/>
        <v/>
      </c>
      <c r="H236" s="18" t="str" cm="1">
        <f t="array" ref="H236">IF(INDEX($B:$B,1+7*ROWS($H$1:H236))="","",INDEX($B:$B,1+7*(ROWS($H$1:H236)-1))-INDEX($B:$B,1+7*ROWS($H$1:H236)))</f>
        <v/>
      </c>
      <c r="AA236" s="5" t="str">
        <f t="shared" si="22"/>
        <v/>
      </c>
      <c r="AB236" s="5" t="str">
        <f t="shared" si="23"/>
        <v/>
      </c>
    </row>
  </sheetData>
  <mergeCells count="3">
    <mergeCell ref="I14:J14"/>
    <mergeCell ref="I17:J17"/>
    <mergeCell ref="I20:J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0"/>
  <sheetViews>
    <sheetView tabSelected="1" workbookViewId="0">
      <selection activeCell="B36" sqref="B36"/>
    </sheetView>
  </sheetViews>
  <sheetFormatPr defaultRowHeight="14.5" x14ac:dyDescent="0.35"/>
  <cols>
    <col min="1" max="1" width="31.1796875" style="5" bestFit="1" customWidth="1"/>
    <col min="2" max="2" width="29.90625" style="5" bestFit="1" customWidth="1"/>
    <col min="3" max="16384" width="8.7265625" style="5"/>
  </cols>
  <sheetData>
    <row r="1" spans="1:2" x14ac:dyDescent="0.35">
      <c r="A1" s="5" t="s">
        <v>85</v>
      </c>
      <c r="B1" s="5">
        <v>1</v>
      </c>
    </row>
    <row r="2" spans="1:2" x14ac:dyDescent="0.35">
      <c r="A2" s="5" t="s">
        <v>86</v>
      </c>
      <c r="B2" s="5">
        <v>7</v>
      </c>
    </row>
    <row r="3" spans="1:2" x14ac:dyDescent="0.35">
      <c r="A3" s="5" t="s">
        <v>87</v>
      </c>
      <c r="B3" s="5">
        <v>13</v>
      </c>
    </row>
    <row r="4" spans="1:2" x14ac:dyDescent="0.35">
      <c r="A4" s="5" t="s">
        <v>88</v>
      </c>
      <c r="B4" s="5">
        <v>0</v>
      </c>
    </row>
    <row r="5" spans="1:2" x14ac:dyDescent="0.35">
      <c r="A5" s="5" t="s">
        <v>89</v>
      </c>
      <c r="B5" s="5">
        <v>1</v>
      </c>
    </row>
    <row r="6" spans="1:2" x14ac:dyDescent="0.35">
      <c r="A6" s="5" t="s">
        <v>90</v>
      </c>
      <c r="B6" s="5">
        <v>2</v>
      </c>
    </row>
    <row r="7" spans="1:2" x14ac:dyDescent="0.35">
      <c r="A7" s="5" t="s">
        <v>93</v>
      </c>
      <c r="B7" s="5">
        <v>3</v>
      </c>
    </row>
    <row r="8" spans="1:2" x14ac:dyDescent="0.35">
      <c r="A8" s="5" t="s">
        <v>91</v>
      </c>
      <c r="B8" s="5">
        <v>4</v>
      </c>
    </row>
    <row r="9" spans="1:2" x14ac:dyDescent="0.35">
      <c r="A9" s="5" t="s">
        <v>92</v>
      </c>
      <c r="B9" s="5">
        <v>5</v>
      </c>
    </row>
    <row r="10" spans="1:2" x14ac:dyDescent="0.35">
      <c r="A10" s="5" t="s">
        <v>94</v>
      </c>
      <c r="B10" s="5">
        <v>1</v>
      </c>
    </row>
    <row r="11" spans="1:2" x14ac:dyDescent="0.35">
      <c r="A11" s="5" t="s">
        <v>95</v>
      </c>
      <c r="B11" s="5">
        <v>6</v>
      </c>
    </row>
    <row r="12" spans="1:2" x14ac:dyDescent="0.35">
      <c r="A12" s="5" t="s">
        <v>96</v>
      </c>
      <c r="B12" s="5">
        <v>1</v>
      </c>
    </row>
    <row r="13" spans="1:2" x14ac:dyDescent="0.35">
      <c r="A13" s="5" t="s">
        <v>97</v>
      </c>
      <c r="B13" s="5">
        <v>12</v>
      </c>
    </row>
    <row r="14" spans="1:2" x14ac:dyDescent="0.35">
      <c r="A14" s="5" t="s">
        <v>98</v>
      </c>
      <c r="B14" s="5">
        <v>1</v>
      </c>
    </row>
    <row r="15" spans="1:2" x14ac:dyDescent="0.35">
      <c r="A15" s="5" t="s">
        <v>99</v>
      </c>
      <c r="B15" s="5">
        <v>18</v>
      </c>
    </row>
    <row r="16" spans="1:2" x14ac:dyDescent="0.35">
      <c r="A16" s="5" t="s">
        <v>100</v>
      </c>
      <c r="B16" s="5">
        <v>1</v>
      </c>
    </row>
    <row r="17" spans="1:2" x14ac:dyDescent="0.35">
      <c r="A17" s="5" t="s">
        <v>101</v>
      </c>
      <c r="B17" s="5">
        <v>24</v>
      </c>
    </row>
    <row r="18" spans="1:2" x14ac:dyDescent="0.35">
      <c r="A18" s="5" t="s">
        <v>102</v>
      </c>
      <c r="B18" s="5">
        <v>1</v>
      </c>
    </row>
    <row r="19" spans="1:2" x14ac:dyDescent="0.35">
      <c r="A19" s="5" t="s">
        <v>103</v>
      </c>
      <c r="B19" s="5">
        <v>30</v>
      </c>
    </row>
    <row r="20" spans="1:2" x14ac:dyDescent="0.35">
      <c r="A20" s="5" t="s">
        <v>104</v>
      </c>
      <c r="B20" s="5">
        <v>1</v>
      </c>
    </row>
    <row r="21" spans="1:2" x14ac:dyDescent="0.35">
      <c r="A21" s="5" t="s">
        <v>105</v>
      </c>
      <c r="B21" s="5">
        <v>36</v>
      </c>
    </row>
    <row r="22" spans="1:2" x14ac:dyDescent="0.35">
      <c r="A22" s="5" t="s">
        <v>106</v>
      </c>
      <c r="B22" s="5">
        <v>1</v>
      </c>
    </row>
    <row r="23" spans="1:2" x14ac:dyDescent="0.35">
      <c r="A23" s="5" t="s">
        <v>107</v>
      </c>
      <c r="B23" s="5">
        <v>42</v>
      </c>
    </row>
    <row r="24" spans="1:2" x14ac:dyDescent="0.35">
      <c r="A24" s="5" t="s">
        <v>108</v>
      </c>
      <c r="B24" s="5">
        <v>1</v>
      </c>
    </row>
    <row r="25" spans="1:2" x14ac:dyDescent="0.35">
      <c r="A25" s="5" t="s">
        <v>109</v>
      </c>
      <c r="B25" s="5">
        <v>48</v>
      </c>
    </row>
    <row r="26" spans="1:2" x14ac:dyDescent="0.35">
      <c r="A26" s="5" t="s">
        <v>110</v>
      </c>
      <c r="B26" s="5">
        <v>2</v>
      </c>
    </row>
    <row r="27" spans="1:2" x14ac:dyDescent="0.35">
      <c r="A27" s="5" t="s">
        <v>111</v>
      </c>
      <c r="B27" s="5">
        <v>0</v>
      </c>
    </row>
    <row r="28" spans="1:2" x14ac:dyDescent="0.35">
      <c r="A28" s="5" t="s">
        <v>112</v>
      </c>
      <c r="B28" s="5">
        <v>1</v>
      </c>
    </row>
    <row r="29" spans="1:2" x14ac:dyDescent="0.35">
      <c r="A29" s="5" t="s">
        <v>114</v>
      </c>
      <c r="B29" s="5">
        <v>2</v>
      </c>
    </row>
    <row r="30" spans="1:2" x14ac:dyDescent="0.35">
      <c r="A30" s="5" t="s">
        <v>115</v>
      </c>
      <c r="B30" s="5">
        <v>3</v>
      </c>
    </row>
    <row r="31" spans="1:2" x14ac:dyDescent="0.35">
      <c r="A31" s="5" t="s">
        <v>116</v>
      </c>
      <c r="B31" s="5">
        <v>4</v>
      </c>
    </row>
    <row r="32" spans="1:2" x14ac:dyDescent="0.35">
      <c r="A32" s="5" t="s">
        <v>113</v>
      </c>
      <c r="B32" s="5">
        <v>5</v>
      </c>
    </row>
    <row r="33" spans="1:2" x14ac:dyDescent="0.35">
      <c r="A33" s="5" t="s">
        <v>179</v>
      </c>
      <c r="B33" s="5">
        <v>2</v>
      </c>
    </row>
    <row r="34" spans="1:2" x14ac:dyDescent="0.35">
      <c r="A34" s="5" t="s">
        <v>180</v>
      </c>
      <c r="B34" s="5">
        <v>3</v>
      </c>
    </row>
    <row r="35" spans="1:2" x14ac:dyDescent="0.35">
      <c r="A35" s="5" t="s">
        <v>119</v>
      </c>
      <c r="B35" s="5">
        <v>2</v>
      </c>
    </row>
    <row r="36" spans="1:2" x14ac:dyDescent="0.35">
      <c r="A36" s="5" t="s">
        <v>181</v>
      </c>
      <c r="B36" s="25"/>
    </row>
    <row r="37" spans="1:2" x14ac:dyDescent="0.35">
      <c r="A37" s="5" t="s">
        <v>182</v>
      </c>
      <c r="B37" s="5">
        <v>1</v>
      </c>
    </row>
    <row r="38" spans="1:2" x14ac:dyDescent="0.35">
      <c r="A38" s="5" t="s">
        <v>183</v>
      </c>
      <c r="B38" s="5">
        <v>4</v>
      </c>
    </row>
    <row r="39" spans="1:2" x14ac:dyDescent="0.35">
      <c r="A39" s="5" t="s">
        <v>199</v>
      </c>
      <c r="B39" s="5">
        <v>1</v>
      </c>
    </row>
    <row r="40" spans="1:2" x14ac:dyDescent="0.35">
      <c r="A40" s="5" t="s">
        <v>200</v>
      </c>
      <c r="B40" s="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E259-0A4C-4B96-A4A8-9A1CA16B4211}">
  <sheetPr codeName="Sheet4"/>
  <dimension ref="A1:B12"/>
  <sheetViews>
    <sheetView workbookViewId="0"/>
  </sheetViews>
  <sheetFormatPr defaultRowHeight="14.5" x14ac:dyDescent="0.35"/>
  <cols>
    <col min="1" max="1" width="25.1796875" style="5" bestFit="1" customWidth="1"/>
    <col min="2" max="2" width="10.453125" style="5" bestFit="1" customWidth="1"/>
    <col min="3" max="16384" width="8.7265625" style="5"/>
  </cols>
  <sheetData>
    <row r="1" spans="1:2" x14ac:dyDescent="0.35">
      <c r="A1" s="5" t="s">
        <v>118</v>
      </c>
      <c r="B1" s="21" t="s">
        <v>211</v>
      </c>
    </row>
    <row r="2" spans="1:2" x14ac:dyDescent="0.35">
      <c r="A2" s="5" t="s">
        <v>201</v>
      </c>
      <c r="B2" s="5">
        <v>1.9</v>
      </c>
    </row>
    <row r="3" spans="1:2" x14ac:dyDescent="0.35">
      <c r="A3" s="5" t="s">
        <v>202</v>
      </c>
      <c r="B3" s="5">
        <v>0.3</v>
      </c>
    </row>
    <row r="4" spans="1:2" x14ac:dyDescent="0.35">
      <c r="A4" s="5" t="s">
        <v>11</v>
      </c>
      <c r="B4" s="5">
        <v>1000</v>
      </c>
    </row>
    <row r="5" spans="1:2" x14ac:dyDescent="0.35">
      <c r="A5" s="5" t="s">
        <v>13</v>
      </c>
      <c r="B5" s="5">
        <v>1.4</v>
      </c>
    </row>
    <row r="6" spans="1:2" x14ac:dyDescent="0.35">
      <c r="A6" s="5" t="s">
        <v>203</v>
      </c>
      <c r="B6" s="5" t="s">
        <v>208</v>
      </c>
    </row>
    <row r="7" spans="1:2" x14ac:dyDescent="0.35">
      <c r="A7" s="5" t="s">
        <v>10</v>
      </c>
      <c r="B7" s="5">
        <v>176</v>
      </c>
    </row>
    <row r="8" spans="1:2" x14ac:dyDescent="0.35">
      <c r="A8" s="5" t="s">
        <v>15</v>
      </c>
      <c r="B8" s="5" t="s">
        <v>117</v>
      </c>
    </row>
    <row r="9" spans="1:2" x14ac:dyDescent="0.35">
      <c r="A9" s="5" t="s">
        <v>204</v>
      </c>
      <c r="B9" s="21" t="s">
        <v>209</v>
      </c>
    </row>
    <row r="10" spans="1:2" x14ac:dyDescent="0.35">
      <c r="A10" s="5" t="s">
        <v>205</v>
      </c>
      <c r="B10" s="5">
        <v>2</v>
      </c>
    </row>
    <row r="11" spans="1:2" x14ac:dyDescent="0.35">
      <c r="A11" s="5" t="s">
        <v>206</v>
      </c>
      <c r="B11" s="5">
        <v>1</v>
      </c>
    </row>
    <row r="12" spans="1:2" x14ac:dyDescent="0.35">
      <c r="A12" s="5" t="s">
        <v>207</v>
      </c>
      <c r="B12" s="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</vt:lpstr>
      <vt:lpstr>Foods</vt:lpstr>
      <vt:lpstr>Weights</vt:lpstr>
      <vt:lpstr>Settings</vt:lpstr>
      <vt:lpstr>DBSettings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Dmitri Deinega</cp:lastModifiedBy>
  <dcterms:created xsi:type="dcterms:W3CDTF">2021-04-15T22:14:37Z</dcterms:created>
  <dcterms:modified xsi:type="dcterms:W3CDTF">2026-08-08T22:24:29Z</dcterms:modified>
</cp:coreProperties>
</file>